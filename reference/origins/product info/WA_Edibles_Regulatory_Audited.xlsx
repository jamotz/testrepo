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92378999b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s" sheetId="1" r:id="Raa6f1000c6cd4236"/>
    <x:sheet xmlns:r="http://schemas.openxmlformats.org/officeDocument/2006/relationships" name="Pricing Notes" sheetId="2" r:id="R91d24ab7211f4648"/>
    <x:sheet xmlns:r="http://schemas.openxmlformats.org/officeDocument/2006/relationships" name="Regulatory Audit" sheetId="3" r:id="Rf7ffe5c0ea05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0.00"/>
    <x:numFmt numFmtId="200" formatCode="0.##"/>
    <x:numFmt numFmtId="201" formatCode="0.00"/>
    <x:numFmt numFmtId="202" formatCode="0.0"/>
  </x:numFmts>
  <x:fonts count="5">
    <x:font>
      <x:sz val="11"/>
      <x:color theme="1"/>
      <x:name val="Calibri"/>
    </x:font>
    <x:font>
      <x:b/>
    </x:font>
    <x:font>
      <x:b/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4F6B4F"/>
      </x:patternFill>
    </x:fill>
    <x:fill>
      <x:patternFill patternType="solid">
        <x:fgColor rgb="FFDCE6DC"/>
      </x:patternFill>
    </x:fill>
    <x:fill>
      <x:patternFill patternType="solid">
        <x:fgColor rgb="FF4F6F52"/>
      </x:patternFill>
    </x:fill>
    <x:fill>
      <x:patternFill patternType="solid">
        <x:fgColor rgb="FF4F6F52"/>
      </x:patternFill>
    </x:fill>
  </x:fills>
  <x:borders count="2">
    <x:border/>
    <x:border/>
  </x:borders>
  <x:cellStyleXfs count="1">
    <x:xf numFmtId="0" fontId="0" fillId="0" borderId="1"/>
  </x:cellStyleXfs>
  <x:cellXfs count="55">
    <x:xf numFmtId="0" fontId="0" fillId="0" borderId="0" xfId="0"/>
    <x:xf numFmtId="0" fontId="1" fillId="0" borderId="0" xfId="0"/>
    <x:xf numFmtId="0" fontId="0" fillId="0" borderId="1" xfId="0"/>
    <x:xf numFmtId="0" fontId="1" fillId="0" borderId="1" xfId="0"/>
    <x:xf numFmtId="164" fontId="0" fillId="0" borderId="0" xfId="0"/>
    <x:xf numFmtId="164" fontId="0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2" fillId="0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164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164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164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cd5400e794fe2" /><Relationship Type="http://schemas.openxmlformats.org/officeDocument/2006/relationships/theme" Target="/xl/theme/theme1.xml" Id="R92a52146f9884033" /><Relationship Type="http://schemas.openxmlformats.org/officeDocument/2006/relationships/sharedStrings" Target="/xl/sharedStrings.xml" Id="R27bcf172fd4046dc" /><Relationship Type="http://schemas.openxmlformats.org/officeDocument/2006/relationships/worksheet" Target="/xl/worksheets/sheet1.xml" Id="Raa6f1000c6cd4236" /><Relationship Type="http://schemas.openxmlformats.org/officeDocument/2006/relationships/worksheet" Target="/xl/worksheets/sheet2.xml" Id="R91d24ab7211f4648" /><Relationship Type="http://schemas.openxmlformats.org/officeDocument/2006/relationships/worksheet" Target="/xl/worksheets/sheet3.xml" Id="Rf7ffe5c0ea0543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6" max="16" width="13" hidden="0" customWidth="1"/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7" max="17" width="13" hidden="0" customWidth="1"/>
    <x:col min="18" max="18" width="14" hidden="0" customWidth="1"/>
    <x:col min="19" max="19" width="18" hidden="0" customWidth="1"/>
    <x:col min="20" max="20" width="40" hidden="0" customWidth="1"/>
    <x:col min="21" max="21" width="16" hidden="0" customWidth="1"/>
    <x:col min="22" max="22" width="14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8" hidden="0" customWidth="1"/>
    <x:col min="28" max="28" width="44" hidden="0" customWidth="1"/>
    <x:col min="29" max="29" width="54" hidden="0" customWidth="1"/>
    <x:col min="30" max="30" width="28" hidden="0" customWidth="1"/>
    <x:col min="31" max="31" width="22" hidden="0" customWidth="1"/>
    <x:col min="32" max="32" width="58" hidden="0" customWidth="1"/>
  </x:cols>
  <x:sheetData>
    <x:row r="1" ht="30" customHeight="1">
      <x:c r="A1" s="28" t="str">
        <x:v>Brand</x:v>
      </x:c>
      <x:c r="B1" s="28" t="str">
        <x:v>Product Name</x:v>
      </x:c>
      <x:c r="C1" s="28" t="str">
        <x:v>Edible Type</x:v>
      </x:c>
      <x:c r="D1" s="28" t="str">
        <x:v>Category</x:v>
      </x:c>
      <x:c r="E1" s="28" t="str">
        <x:v>Extraction</x:v>
      </x:c>
      <x:c r="F1" s="28" t="str">
        <x:v>Lifestyle</x:v>
      </x:c>
      <x:c r="G1" s="28" t="str">
        <x:v>Effect Filter</x:v>
      </x:c>
      <x:c r="H1" s="28" t="str">
        <x:v>Cannabinoid Combo</x:v>
      </x:c>
      <x:c r="I1" s="28" t="str">
        <x:v>Ratio (Tile)</x:v>
      </x:c>
      <x:c r="J1" s="28" t="str">
        <x:v>THC Serving mg</x:v>
      </x:c>
      <x:c r="K1" s="28" t="str">
        <x:v>THC Total mg</x:v>
      </x:c>
      <x:c r="L1" s="28" t="str">
        <x:v>CBD Serving mg</x:v>
      </x:c>
      <x:c r="M1" s="28" t="str">
        <x:v>CBD Total mg</x:v>
      </x:c>
      <x:c r="N1" s="28" t="str">
        <x:v>CBN Serving mg</x:v>
      </x:c>
      <x:c r="O1" s="28" t="str">
        <x:v>CBN Total mg</x:v>
      </x:c>
      <x:c r="P1" s="29" t="str">
        <x:v>CBG Serving mg</x:v>
      </x:c>
      <x:c r="Q1" s="29" t="str">
        <x:v>CBG Total mg</x:v>
      </x:c>
      <x:c r="R1" s="29" t="str">
        <x:v>Servings Per Package</x:v>
      </x:c>
      <x:c r="S1" s="29" t="str">
        <x:v>Flavor</x:v>
      </x:c>
      <x:c r="T1" s="29" t="str">
        <x:v>Description</x:v>
      </x:c>
      <x:c r="U1" s="29" t="str">
        <x:v>WA Retail Price (USD)</x:v>
      </x:c>
      <x:c r="V1" s="47" t="str">
        <x:v>Net Qty Basis</x:v>
      </x:c>
      <x:c r="W1" s="47" t="str">
        <x:v>Net Amount (US)</x:v>
      </x:c>
      <x:c r="X1" s="47" t="str">
        <x:v>US Unit</x:v>
      </x:c>
      <x:c r="Y1" s="47" t="str">
        <x:v>Net Amount (Metric)</x:v>
      </x:c>
      <x:c r="Z1" s="47" t="str">
        <x:v>Metric Unit</x:v>
      </x:c>
      <x:c r="AA1" s="47" t="str">
        <x:v>Serving Amount (g)</x:v>
      </x:c>
      <x:c r="AB1" s="47" t="str">
        <x:v>Qty Confidence / Basis</x:v>
      </x:c>
      <x:c r="AC1" s="47" t="str">
        <x:v>Qty Source</x:v>
      </x:c>
      <x:c r="AD1" s="54" t="str">
        <x:v>Regulatory Quantity Display</x:v>
      </x:c>
      <x:c r="AE1" s="54" t="str">
        <x:v>Serving Size (Unit)</x:v>
      </x:c>
      <x:c r="AF1" s="54" t="str">
        <x:v>Regulatory Audit Note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5"/>
      <x:c r="K2" s="35"/>
      <x:c r="L2" s="35"/>
      <x:c r="M2" s="35"/>
      <x:c r="N2" s="35"/>
      <x:c r="O2" s="35"/>
      <x:c r="P2" s="35"/>
      <x:c r="Q2" s="35"/>
      <x:c r="R2" s="35"/>
      <x:c r="S2" s="34"/>
      <x:c r="T2" s="34"/>
      <x:c r="U2" s="36"/>
      <x:c r="V2"/>
      <x:c r="W2" s="48" t="str">
        <x:f>IF(ISNUMBER(Y2),ROUNDDOWN(Y2/28.349523125,2),"")</x:f>
      </x:c>
      <x:c r="X2"/>
      <x:c r="Y2" s="49"/>
      <x:c r="Z2"/>
      <x:c r="AA2" s="48"/>
      <x:c r="AB2" s="18"/>
      <x:c r="AC2" s="18"/>
      <x:c r="AD2"/>
      <x:c r="AE2"/>
      <x:c r="AF2" s="18"/>
    </x:row>
    <x:row r="3">
      <x:c r="A3" s="40" t="str">
        <x:v>=== THC EDIBLES ===</x:v>
      </x:c>
      <x:c r="B3" s="40"/>
      <x:c r="C3" s="40"/>
      <x:c r="D3" s="40"/>
      <x:c r="E3" s="40"/>
      <x:c r="F3" s="40"/>
      <x:c r="G3" s="40"/>
      <x:c r="H3" s="40"/>
      <x:c r="I3" s="40"/>
      <x:c r="J3" s="41"/>
      <x:c r="K3" s="41"/>
      <x:c r="L3" s="41"/>
      <x:c r="M3" s="41"/>
      <x:c r="N3" s="41"/>
      <x:c r="O3" s="41"/>
      <x:c r="P3" s="41"/>
      <x:c r="Q3" s="41"/>
      <x:c r="R3" s="41"/>
      <x:c r="S3" s="40"/>
      <x:c r="T3" s="40"/>
      <x:c r="U3" s="42"/>
      <x:c r="V3"/>
      <x:c r="W3" s="48" t="str">
        <x:f>IF(ISNUMBER(Y3),ROUNDDOWN(Y3/28.349523125,2),"")</x:f>
      </x:c>
      <x:c r="X3"/>
      <x:c r="Y3" s="49"/>
      <x:c r="Z3"/>
      <x:c r="AA3" s="48"/>
      <x:c r="AB3" s="18"/>
      <x:c r="AC3" s="18"/>
      <x:c r="AD3"/>
      <x:c r="AE3"/>
      <x:c r="AF3" s="18"/>
    </x:row>
    <x:row r="4">
      <x:c r="A4" s="34" t="str">
        <x:v>Ceres</x:v>
      </x:c>
      <x:c r="B4" s="34" t="str">
        <x:v>Blackberry Gummies</x:v>
      </x:c>
      <x:c r="C4" s="34" t="str">
        <x:v>Gummies</x:v>
      </x:c>
      <x:c r="D4" s="34" t="str">
        <x:v>THC Edibles</x:v>
      </x:c>
      <x:c r="E4" s="34" t="str">
        <x:v>Distillate</x:v>
      </x:c>
      <x:c r="F4" s="34" t="str">
        <x:v>Sativa</x:v>
      </x:c>
      <x:c r="G4" s="34"/>
      <x:c r="H4" s="34" t="str">
        <x:v>THC Only</x:v>
      </x:c>
      <x:c r="I4" s="34"/>
      <x:c r="J4" s="35" t="n">
        <x:v>10</x:v>
      </x:c>
      <x:c r="K4" s="35" t="n">
        <x:f>J4*R4</x:f>
        <x:v>100</x:v>
      </x:c>
      <x:c r="L4" s="35" t="n">
        <x:v>0</x:v>
      </x:c>
      <x:c r="M4" s="35" t="n">
        <x:f>L4*R4</x:f>
        <x:v>0</x:v>
      </x:c>
      <x:c r="N4" s="35" t="n">
        <x:v>0</x:v>
      </x:c>
      <x:c r="O4" s="35" t="n">
        <x:f>N4*R4</x:f>
        <x:v>0</x:v>
      </x:c>
      <x:c r="P4" s="35" t="n">
        <x:v>0</x:v>
      </x:c>
      <x:c r="Q4" s="35" t="n">
        <x:f>P4*R4</x:f>
        <x:v>0</x:v>
      </x:c>
      <x:c r="R4" s="35" t="n">
        <x:v>10</x:v>
      </x:c>
      <x:c r="S4" s="34" t="str">
        <x:v>Blackberry</x:v>
      </x:c>
      <x:c r="T4" s="34" t="str">
        <x:v>Soft blackberry gummies made with quality ingredients and precisely infused cannabinoids for consistent flavor and reliable dosing.</x:v>
      </x:c>
      <x:c r="U4" s="36" t="n">
        <x:v>18</x:v>
      </x:c>
      <x:c r="V4" t="str">
        <x:v>Weight</x:v>
      </x:c>
      <x:c r="W4" s="48" t="n">
        <x:f>IF(ISNUMBER(Y4),ROUNDDOWN(Y4/28.349523125,2),"")</x:f>
        <x:v>2.18</x:v>
      </x:c>
      <x:c r="X4" t="str">
        <x:v>oz</x:v>
      </x:c>
      <x:c r="Y4" s="49" t="n">
        <x:v>62</x:v>
      </x:c>
      <x:c r="Z4" t="str">
        <x:v>g</x:v>
      </x:c>
      <x:c r="AA4" s="48" t="n">
        <x:f>IF(AND(ISNUMBER(Y4),ISNUMBER(R4),R4&gt;0),Y4/R4,"")</x:f>
        <x:v>6.2</x:v>
      </x:c>
      <x:c r="AB4" s="18" t="str">
        <x:v>Researched — Ceres 10-pack chews in WA traceability data</x:v>
      </x:c>
      <x:c r="AC4" s="18" t="str">
        <x:v>https://www.topshelfdata.com/wa/seattle/clutch-cannabis/leaf_product_purchases?business=Hannah+Industries&amp;from=2024-07-01</x:v>
      </x:c>
      <x:c r="AD4" t="str">
        <x:f>IF(V4="Weight","Net Wt. "&amp;TEXT(W4,"0.##")&amp;" "&amp;X4&amp;" ("&amp;TEXT(Y4,"0.#")&amp;" "&amp;Z4&amp;")","")</x:f>
        <x:v>Net Wt. 2.18 oz (62. g)</x:v>
      </x:c>
      <x:c r="AE4" t="str">
        <x:v>1 gummy</x:v>
      </x:c>
      <x:c r="AF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">
      <x:c r="A5" s="34" t="str">
        <x:v>Ceres</x:v>
      </x:c>
      <x:c r="B5" s="34" t="str">
        <x:v>Marionberry Gummies</x:v>
      </x:c>
      <x:c r="C5" s="34" t="str">
        <x:v>Gummies</x:v>
      </x:c>
      <x:c r="D5" s="34" t="str">
        <x:v>THC Edibles</x:v>
      </x:c>
      <x:c r="E5" s="34" t="str">
        <x:v>Rosin</x:v>
      </x:c>
      <x:c r="F5" s="34" t="str">
        <x:v>Sativa</x:v>
      </x:c>
      <x:c r="G5" s="34"/>
      <x:c r="H5" s="34" t="str">
        <x:v>THC Only</x:v>
      </x:c>
      <x:c r="I5" s="34"/>
      <x:c r="J5" s="35" t="n">
        <x:v>10</x:v>
      </x:c>
      <x:c r="K5" s="35" t="n">
        <x:f>J5*R5</x:f>
        <x:v>100</x:v>
      </x:c>
      <x:c r="L5" s="35" t="n">
        <x:v>0</x:v>
      </x:c>
      <x:c r="M5" s="35" t="n">
        <x:f>L5*R5</x:f>
        <x:v>0</x:v>
      </x:c>
      <x:c r="N5" s="35" t="n">
        <x:v>0</x:v>
      </x:c>
      <x:c r="O5" s="35" t="n">
        <x:f>N5*R5</x:f>
        <x:v>0</x:v>
      </x:c>
      <x:c r="P5" s="35" t="n">
        <x:v>0</x:v>
      </x:c>
      <x:c r="Q5" s="35" t="n">
        <x:f>P5*R5</x:f>
        <x:v>0</x:v>
      </x:c>
      <x:c r="R5" s="35" t="n">
        <x:v>10</x:v>
      </x:c>
      <x:c r="S5" s="34" t="str">
        <x:v>Blackberry</x:v>
      </x:c>
      <x:c r="T5" s="34" t="str">
        <x:v>Soft marionberry gummies made with quality ingredients and precisely infused cannabinoids for consistent flavor and reliable dosing.</x:v>
      </x:c>
      <x:c r="U5" s="36" t="n">
        <x:v>24</x:v>
      </x:c>
      <x:c r="V5" t="str">
        <x:v>Weight</x:v>
      </x:c>
      <x:c r="W5" s="48" t="n">
        <x:f>IF(ISNUMBER(Y5),ROUNDDOWN(Y5/28.349523125,2),"")</x:f>
        <x:v>2.18</x:v>
      </x:c>
      <x:c r="X5" t="str">
        <x:v>oz</x:v>
      </x:c>
      <x:c r="Y5" s="49" t="n">
        <x:v>62</x:v>
      </x:c>
      <x:c r="Z5" t="str">
        <x:v>g</x:v>
      </x:c>
      <x:c r="AA5" s="48" t="n">
        <x:f>IF(AND(ISNUMBER(Y5),ISNUMBER(R5),R5&gt;0),Y5/R5,"")</x:f>
        <x:v>6.2</x:v>
      </x:c>
      <x:c r="AB5" s="18" t="str">
        <x:v>Researched — Ceres 10-pack chews in WA traceability data</x:v>
      </x:c>
      <x:c r="AC5" s="18" t="str">
        <x:v>https://www.topshelfdata.com/wa/seattle/clutch-cannabis/leaf_product_purchases?business=Hannah+Industries&amp;from=2024-07-01</x:v>
      </x:c>
      <x:c r="AD5" t="str">
        <x:f>IF(V5="Weight","Net Wt. "&amp;TEXT(W5,"0.##")&amp;" "&amp;X5&amp;" ("&amp;TEXT(Y5,"0.#")&amp;" "&amp;Z5&amp;")","")</x:f>
        <x:v>Net Wt. 2.18 oz (62. g)</x:v>
      </x:c>
      <x:c r="AE5" t="str">
        <x:v>1 gummy</x:v>
      </x:c>
      <x:c r="AF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6">
      <x:c r="A6" s="34" t="str">
        <x:v>Ceres</x:v>
      </x:c>
      <x:c r="B6" s="34" t="str">
        <x:v>Huckleberry Gummies</x:v>
      </x:c>
      <x:c r="C6" s="34" t="str">
        <x:v>Gummies</x:v>
      </x:c>
      <x:c r="D6" s="34" t="str">
        <x:v>THC Edibles</x:v>
      </x:c>
      <x:c r="E6" s="34" t="str">
        <x:v>Distillate</x:v>
      </x:c>
      <x:c r="F6" s="34" t="str">
        <x:v>Indica</x:v>
      </x:c>
      <x:c r="G6" s="34"/>
      <x:c r="H6" s="34" t="str">
        <x:v>THC Only</x:v>
      </x:c>
      <x:c r="I6" s="34"/>
      <x:c r="J6" s="35" t="n">
        <x:v>10</x:v>
      </x:c>
      <x:c r="K6" s="35" t="n">
        <x:f>J6*R6</x:f>
        <x:v>100</x:v>
      </x:c>
      <x:c r="L6" s="35" t="n">
        <x:v>0</x:v>
      </x:c>
      <x:c r="M6" s="35" t="n">
        <x:f>L6*R6</x:f>
        <x:v>0</x:v>
      </x:c>
      <x:c r="N6" s="35" t="n">
        <x:v>0</x:v>
      </x:c>
      <x:c r="O6" s="35" t="n">
        <x:f>N6*R6</x:f>
        <x:v>0</x:v>
      </x:c>
      <x:c r="P6" s="35" t="n">
        <x:v>0</x:v>
      </x:c>
      <x:c r="Q6" s="35" t="n">
        <x:f>P6*R6</x:f>
        <x:v>0</x:v>
      </x:c>
      <x:c r="R6" s="35" t="n">
        <x:v>10</x:v>
      </x:c>
      <x:c r="S6" s="34" t="str">
        <x:v>Huckleberry</x:v>
      </x:c>
      <x:c r="T6" s="34" t="str">
        <x:v>Soft huckleberry gummies made with quality ingredients and precisely infused cannabinoids for consistent flavor and reliable dosing.</x:v>
      </x:c>
      <x:c r="U6" s="36" t="n">
        <x:v>18</x:v>
      </x:c>
      <x:c r="V6" t="str">
        <x:v>Weight</x:v>
      </x:c>
      <x:c r="W6" s="48" t="n">
        <x:f>IF(ISNUMBER(Y6),ROUNDDOWN(Y6/28.349523125,2),"")</x:f>
        <x:v>2.18</x:v>
      </x:c>
      <x:c r="X6" t="str">
        <x:v>oz</x:v>
      </x:c>
      <x:c r="Y6" s="49" t="n">
        <x:v>62</x:v>
      </x:c>
      <x:c r="Z6" t="str">
        <x:v>g</x:v>
      </x:c>
      <x:c r="AA6" s="48" t="n">
        <x:f>IF(AND(ISNUMBER(Y6),ISNUMBER(R6),R6&gt;0),Y6/R6,"")</x:f>
        <x:v>6.2</x:v>
      </x:c>
      <x:c r="AB6" s="18" t="str">
        <x:v>Researched — Ceres 10-pack chews in WA traceability data</x:v>
      </x:c>
      <x:c r="AC6" s="18" t="str">
        <x:v>https://www.topshelfdata.com/wa/seattle/clutch-cannabis/leaf_product_purchases?business=Hannah+Industries&amp;from=2024-07-01</x:v>
      </x:c>
      <x:c r="AD6" t="str">
        <x:f>IF(V6="Weight","Net Wt. "&amp;TEXT(W6,"0.##")&amp;" "&amp;X6&amp;" ("&amp;TEXT(Y6,"0.#")&amp;" "&amp;Z6&amp;")","")</x:f>
        <x:v>Net Wt. 2.18 oz (62. g)</x:v>
      </x:c>
      <x:c r="AE6" t="str">
        <x:v>1 gummy</x:v>
      </x:c>
      <x:c r="AF6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7">
      <x:c r="A7" s="34" t="str">
        <x:v>Ceres</x:v>
      </x:c>
      <x:c r="B7" s="34" t="str">
        <x:v>Raspberry Gummies</x:v>
      </x:c>
      <x:c r="C7" s="34" t="str">
        <x:v>Gummies</x:v>
      </x:c>
      <x:c r="D7" s="34" t="str">
        <x:v>THC Edibles</x:v>
      </x:c>
      <x:c r="E7" s="34" t="str">
        <x:v>Rosin</x:v>
      </x:c>
      <x:c r="F7" s="34" t="str">
        <x:v>Hybrid</x:v>
      </x:c>
      <x:c r="G7" s="34"/>
      <x:c r="H7" s="34" t="str">
        <x:v>THC Only</x:v>
      </x:c>
      <x:c r="I7" s="34"/>
      <x:c r="J7" s="35" t="n">
        <x:v>10</x:v>
      </x:c>
      <x:c r="K7" s="35" t="n">
        <x:f>J7*R7</x:f>
        <x:v>100</x:v>
      </x:c>
      <x:c r="L7" s="35" t="n">
        <x:v>0</x:v>
      </x:c>
      <x:c r="M7" s="35" t="n">
        <x:f>L7*R7</x:f>
        <x:v>0</x:v>
      </x:c>
      <x:c r="N7" s="35" t="n">
        <x:v>0</x:v>
      </x:c>
      <x:c r="O7" s="35" t="n">
        <x:f>N7*R7</x:f>
        <x:v>0</x:v>
      </x:c>
      <x:c r="P7" s="35" t="n">
        <x:v>0</x:v>
      </x:c>
      <x:c r="Q7" s="35" t="n">
        <x:f>P7*R7</x:f>
        <x:v>0</x:v>
      </x:c>
      <x:c r="R7" s="35" t="n">
        <x:v>10</x:v>
      </x:c>
      <x:c r="S7" s="34" t="str">
        <x:v>Pineapple</x:v>
      </x:c>
      <x:c r="T7" s="34" t="str">
        <x:v>Soft raspberry gummies made with quality ingredients and precisely infused cannabinoids for consistent flavor and reliable dosing.</x:v>
      </x:c>
      <x:c r="U7" s="36" t="n">
        <x:v>24</x:v>
      </x:c>
      <x:c r="V7" t="str">
        <x:v>Weight</x:v>
      </x:c>
      <x:c r="W7" s="48" t="n">
        <x:f>IF(ISNUMBER(Y7),ROUNDDOWN(Y7/28.349523125,2),"")</x:f>
        <x:v>2.18</x:v>
      </x:c>
      <x:c r="X7" t="str">
        <x:v>oz</x:v>
      </x:c>
      <x:c r="Y7" s="49" t="n">
        <x:v>62</x:v>
      </x:c>
      <x:c r="Z7" t="str">
        <x:v>g</x:v>
      </x:c>
      <x:c r="AA7" s="48" t="n">
        <x:f>IF(AND(ISNUMBER(Y7),ISNUMBER(R7),R7&gt;0),Y7/R7,"")</x:f>
        <x:v>6.2</x:v>
      </x:c>
      <x:c r="AB7" s="18" t="str">
        <x:v>Researched — Ceres 10-pack chews in WA traceability data</x:v>
      </x:c>
      <x:c r="AC7" s="18" t="str">
        <x:v>https://www.topshelfdata.com/wa/seattle/clutch-cannabis/leaf_product_purchases?business=Hannah+Industries&amp;from=2024-07-01</x:v>
      </x:c>
      <x:c r="AD7" t="str">
        <x:f>IF(V7="Weight","Net Wt. "&amp;TEXT(W7,"0.##")&amp;" "&amp;X7&amp;" ("&amp;TEXT(Y7,"0.#")&amp;" "&amp;Z7&amp;")","")</x:f>
        <x:v>Net Wt. 2.18 oz (62. g)</x:v>
      </x:c>
      <x:c r="AE7" t="str">
        <x:v>1 gummy</x:v>
      </x:c>
      <x:c r="AF7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8">
      <x:c r="A8" s="34" t="str">
        <x:v>Constellation Cannabis</x:v>
      </x:c>
      <x:c r="B8" s="34" t="str">
        <x:v>Dark Chocolates</x:v>
      </x:c>
      <x:c r="C8" s="34" t="str">
        <x:v>Chocolate</x:v>
      </x:c>
      <x:c r="D8" s="34" t="str">
        <x:v>THC Edibles</x:v>
      </x:c>
      <x:c r="E8" s="34" t="str">
        <x:v>Live Resin</x:v>
      </x:c>
      <x:c r="F8" s="34" t="str">
        <x:v>Hybrid</x:v>
      </x:c>
      <x:c r="G8" s="34"/>
      <x:c r="H8" s="34" t="str">
        <x:v>THC Only</x:v>
      </x:c>
      <x:c r="I8" s="34"/>
      <x:c r="J8" s="35" t="n">
        <x:v>10</x:v>
      </x:c>
      <x:c r="K8" s="35" t="n">
        <x:f>J8*R8</x:f>
        <x:v>100</x:v>
      </x:c>
      <x:c r="L8" s="35" t="n">
        <x:v>0</x:v>
      </x:c>
      <x:c r="M8" s="35" t="n">
        <x:f>L8*R8</x:f>
        <x:v>0</x:v>
      </x:c>
      <x:c r="N8" s="35" t="n">
        <x:v>0</x:v>
      </x:c>
      <x:c r="O8" s="35" t="n">
        <x:f>N8*R8</x:f>
        <x:v>0</x:v>
      </x:c>
      <x:c r="P8" s="35" t="n">
        <x:v>0</x:v>
      </x:c>
      <x:c r="Q8" s="35" t="n">
        <x:f>P8*R8</x:f>
        <x:v>0</x:v>
      </x:c>
      <x:c r="R8" s="35" t="n">
        <x:v>10</x:v>
      </x:c>
      <x:c r="S8" s="34" t="str">
        <x:v>Dark Chocolate</x:v>
      </x:c>
      <x:c r="T8" s="34" t="str">
        <x:v>Premium dark chocolates crafted with smooth cocoa and evenly infused cannabinoids for a rich, consistent experience.</x:v>
      </x:c>
      <x:c r="U8" s="36" t="n">
        <x:v>22</x:v>
      </x:c>
      <x:c r="V8" t="str">
        <x:v>Weight</x:v>
      </x:c>
      <x:c r="W8" s="48" t="n">
        <x:f>IF(ISNUMBER(Y8),ROUNDDOWN(Y8/28.349523125,2),"")</x:f>
        <x:v>3.52</x:v>
      </x:c>
      <x:c r="X8" t="str">
        <x:v>oz</x:v>
      </x:c>
      <x:c r="Y8" s="49" t="n">
        <x:v>100</x:v>
      </x:c>
      <x:c r="Z8" t="str">
        <x:v>g</x:v>
      </x:c>
      <x:c r="AA8" s="48" t="n">
        <x:f>IF(AND(ISNUMBER(Y8),ISNUMBER(R8),R8&gt;0),Y8/R8,"")</x:f>
        <x:v>10</x:v>
      </x:c>
      <x:c r="AB8" s="18" t="str">
        <x:v>Estimated — exact SKU not found; comparable WA 10-piece chocolate/confection package</x:v>
      </x:c>
      <x:c r="AC8" s="18" t="str">
        <x:v>https://www.topshelfdata.com/wa/tacoma/the-gallery-parkland/leaf_product_purchases?business=Stryps&amp;from=2024-04-01</x:v>
      </x:c>
      <x:c r="AD8" t="str">
        <x:f>IF(V8="Weight","Net Wt. "&amp;TEXT(W8,"0.##")&amp;" "&amp;X8&amp;" ("&amp;TEXT(Y8,"0.#")&amp;" "&amp;Z8&amp;")","")</x:f>
        <x:v>Net Wt. 3.52 oz (100. g)</x:v>
      </x:c>
      <x:c r="AE8" t="str">
        <x:v>1 chocolate piece</x:v>
      </x:c>
      <x:c r="AF8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9">
      <x:c r="A9" s="34" t="str">
        <x:v>Constellation Cannabis</x:v>
      </x:c>
      <x:c r="B9" s="34" t="str">
        <x:v>Sea Salt Caramel Chocolates</x:v>
      </x:c>
      <x:c r="C9" s="34" t="str">
        <x:v>Chocolate</x:v>
      </x:c>
      <x:c r="D9" s="34" t="str">
        <x:v>THC Edibles</x:v>
      </x:c>
      <x:c r="E9" s="34" t="str">
        <x:v>Live Rosin</x:v>
      </x:c>
      <x:c r="F9" s="34" t="str">
        <x:v>Hybrid</x:v>
      </x:c>
      <x:c r="G9" s="34"/>
      <x:c r="H9" s="34" t="str">
        <x:v>THC Only</x:v>
      </x:c>
      <x:c r="I9" s="34"/>
      <x:c r="J9" s="35" t="n">
        <x:v>10</x:v>
      </x:c>
      <x:c r="K9" s="35" t="n">
        <x:f>J9*R9</x:f>
        <x:v>100</x:v>
      </x:c>
      <x:c r="L9" s="35" t="n">
        <x:v>0</x:v>
      </x:c>
      <x:c r="M9" s="35" t="n">
        <x:f>L9*R9</x:f>
        <x:v>0</x:v>
      </x:c>
      <x:c r="N9" s="35" t="n">
        <x:v>0</x:v>
      </x:c>
      <x:c r="O9" s="35" t="n">
        <x:f>N9*R9</x:f>
        <x:v>0</x:v>
      </x:c>
      <x:c r="P9" s="35" t="n">
        <x:v>0</x:v>
      </x:c>
      <x:c r="Q9" s="35" t="n">
        <x:f>P9*R9</x:f>
        <x:v>0</x:v>
      </x:c>
      <x:c r="R9" s="35" t="n">
        <x:v>10</x:v>
      </x:c>
      <x:c r="S9" s="34" t="str">
        <x:v>Dark Chocolate</x:v>
      </x:c>
      <x:c r="T9" s="34" t="str">
        <x:v>Premium sea salt caramel chocolates crafted with smooth cocoa and evenly infused cannabinoids for a rich, consistent experience.</x:v>
      </x:c>
      <x:c r="U9" s="36" t="n">
        <x:v>26</x:v>
      </x:c>
      <x:c r="V9" t="str">
        <x:v>Weight</x:v>
      </x:c>
      <x:c r="W9" s="48" t="n">
        <x:f>IF(ISNUMBER(Y9),ROUNDDOWN(Y9/28.349523125,2),"")</x:f>
        <x:v>3.52</x:v>
      </x:c>
      <x:c r="X9" t="str">
        <x:v>oz</x:v>
      </x:c>
      <x:c r="Y9" s="49" t="n">
        <x:v>100</x:v>
      </x:c>
      <x:c r="Z9" t="str">
        <x:v>g</x:v>
      </x:c>
      <x:c r="AA9" s="48" t="n">
        <x:f>IF(AND(ISNUMBER(Y9),ISNUMBER(R9),R9&gt;0),Y9/R9,"")</x:f>
        <x:v>10</x:v>
      </x:c>
      <x:c r="AB9" s="18" t="str">
        <x:v>Estimated — exact SKU not found; comparable WA 10-piece chocolate/confection package</x:v>
      </x:c>
      <x:c r="AC9" s="18" t="str">
        <x:v>https://www.topshelfdata.com/wa/tacoma/the-gallery-parkland/leaf_product_purchases?business=Stryps&amp;from=2024-04-01</x:v>
      </x:c>
      <x:c r="AD9" t="str">
        <x:f>IF(V9="Weight","Net Wt. "&amp;TEXT(W9,"0.##")&amp;" "&amp;X9&amp;" ("&amp;TEXT(Y9,"0.#")&amp;" "&amp;Z9&amp;")","")</x:f>
        <x:v>Net Wt. 3.52 oz (100. g)</x:v>
      </x:c>
      <x:c r="AE9" t="str">
        <x:v>1 chocolate piece</x:v>
      </x:c>
      <x:c r="AF9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0">
      <x:c r="A10" s="34" t="str">
        <x:v>Constellation Cannabis</x:v>
      </x:c>
      <x:c r="B10" s="34" t="str">
        <x:v>Milk Chocolates</x:v>
      </x:c>
      <x:c r="C10" s="34" t="str">
        <x:v>Chocolate</x:v>
      </x:c>
      <x:c r="D10" s="34" t="str">
        <x:v>THC Edibles</x:v>
      </x:c>
      <x:c r="E10" s="34" t="str">
        <x:v>Live Resin</x:v>
      </x:c>
      <x:c r="F10" s="34" t="str">
        <x:v>Sativa</x:v>
      </x:c>
      <x:c r="G10" s="34"/>
      <x:c r="H10" s="34" t="str">
        <x:v>THC Only</x:v>
      </x:c>
      <x:c r="I10" s="34"/>
      <x:c r="J10" s="35" t="n">
        <x:v>10</x:v>
      </x:c>
      <x:c r="K10" s="35" t="n">
        <x:f>J10*R10</x:f>
        <x:v>100</x:v>
      </x:c>
      <x:c r="L10" s="35" t="n">
        <x:v>0</x:v>
      </x:c>
      <x:c r="M10" s="35" t="n">
        <x:f>L10*R10</x:f>
        <x:v>0</x:v>
      </x:c>
      <x:c r="N10" s="35" t="n">
        <x:v>0</x:v>
      </x:c>
      <x:c r="O10" s="35" t="n">
        <x:f>N10*R10</x:f>
        <x:v>0</x:v>
      </x:c>
      <x:c r="P10" s="35" t="n">
        <x:v>0</x:v>
      </x:c>
      <x:c r="Q10" s="35" t="n">
        <x:f>P10*R10</x:f>
        <x:v>0</x:v>
      </x:c>
      <x:c r="R10" s="35" t="n">
        <x:v>10</x:v>
      </x:c>
      <x:c r="S10" s="34" t="str">
        <x:v>Milk Chocolate</x:v>
      </x:c>
      <x:c r="T10" s="34" t="str">
        <x:v>Premium milk chocolates crafted with smooth cocoa and evenly infused cannabinoids for a rich, consistent experience.</x:v>
      </x:c>
      <x:c r="U10" s="36" t="n">
        <x:v>22</x:v>
      </x:c>
      <x:c r="V10" t="str">
        <x:v>Weight</x:v>
      </x:c>
      <x:c r="W10" s="48" t="n">
        <x:f>IF(ISNUMBER(Y10),ROUNDDOWN(Y10/28.349523125,2),"")</x:f>
        <x:v>3.52</x:v>
      </x:c>
      <x:c r="X10" t="str">
        <x:v>oz</x:v>
      </x:c>
      <x:c r="Y10" s="49" t="n">
        <x:v>100</x:v>
      </x:c>
      <x:c r="Z10" t="str">
        <x:v>g</x:v>
      </x:c>
      <x:c r="AA10" s="48" t="n">
        <x:f>IF(AND(ISNUMBER(Y10),ISNUMBER(R10),R10&gt;0),Y10/R10,"")</x:f>
        <x:v>10</x:v>
      </x:c>
      <x:c r="AB10" s="18" t="str">
        <x:v>Estimated — exact SKU not found; comparable WA 10-piece chocolate/confection package</x:v>
      </x:c>
      <x:c r="AC10" s="18" t="str">
        <x:v>https://www.topshelfdata.com/wa/tacoma/the-gallery-parkland/leaf_product_purchases?business=Stryps&amp;from=2024-04-01</x:v>
      </x:c>
      <x:c r="AD10" t="str">
        <x:f>IF(V10="Weight","Net Wt. "&amp;TEXT(W10,"0.##")&amp;" "&amp;X10&amp;" ("&amp;TEXT(Y10,"0.#")&amp;" "&amp;Z10&amp;")","")</x:f>
        <x:v>Net Wt. 3.52 oz (100. g)</x:v>
      </x:c>
      <x:c r="AE10" t="str">
        <x:v>1 chocolate piece</x:v>
      </x:c>
      <x:c r="AF10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1">
      <x:c r="A11" s="34" t="str">
        <x:v>Constellation Cannabis</x:v>
      </x:c>
      <x:c r="B11" s="34" t="str">
        <x:v>Cookies &amp; Cream Chocolates</x:v>
      </x:c>
      <x:c r="C11" s="34" t="str">
        <x:v>Chocolate</x:v>
      </x:c>
      <x:c r="D11" s="34" t="str">
        <x:v>THC Edibles</x:v>
      </x:c>
      <x:c r="E11" s="34" t="str">
        <x:v>Live Rosin</x:v>
      </x:c>
      <x:c r="F11" s="34" t="str">
        <x:v>Indica</x:v>
      </x:c>
      <x:c r="G11" s="34"/>
      <x:c r="H11" s="34" t="str">
        <x:v>THC Only</x:v>
      </x:c>
      <x:c r="I11" s="34"/>
      <x:c r="J11" s="35" t="n">
        <x:v>10</x:v>
      </x:c>
      <x:c r="K11" s="35" t="n">
        <x:f>J11*R11</x:f>
        <x:v>100</x:v>
      </x:c>
      <x:c r="L11" s="35" t="n">
        <x:v>0</x:v>
      </x:c>
      <x:c r="M11" s="35" t="n">
        <x:f>L11*R11</x:f>
        <x:v>0</x:v>
      </x:c>
      <x:c r="N11" s="35" t="n">
        <x:v>0</x:v>
      </x:c>
      <x:c r="O11" s="35" t="n">
        <x:f>N11*R11</x:f>
        <x:v>0</x:v>
      </x:c>
      <x:c r="P11" s="35" t="n">
        <x:v>0</x:v>
      </x:c>
      <x:c r="Q11" s="35" t="n">
        <x:f>P11*R11</x:f>
        <x:v>0</x:v>
      </x:c>
      <x:c r="R11" s="35" t="n">
        <x:v>10</x:v>
      </x:c>
      <x:c r="S11" s="34" t="str">
        <x:v>Raspberry</x:v>
      </x:c>
      <x:c r="T11" s="34" t="str">
        <x:v>Premium cookies &amp; cream chocolates crafted with smooth cocoa and evenly infused cannabinoids for a rich, consistent experience.</x:v>
      </x:c>
      <x:c r="U11" s="36" t="n">
        <x:v>26</x:v>
      </x:c>
      <x:c r="V11" t="str">
        <x:v>Weight</x:v>
      </x:c>
      <x:c r="W11" s="48" t="n">
        <x:f>IF(ISNUMBER(Y11),ROUNDDOWN(Y11/28.349523125,2),"")</x:f>
        <x:v>3.52</x:v>
      </x:c>
      <x:c r="X11" t="str">
        <x:v>oz</x:v>
      </x:c>
      <x:c r="Y11" s="49" t="n">
        <x:v>100</x:v>
      </x:c>
      <x:c r="Z11" t="str">
        <x:v>g</x:v>
      </x:c>
      <x:c r="AA11" s="48" t="n">
        <x:f>IF(AND(ISNUMBER(Y11),ISNUMBER(R11),R11&gt;0),Y11/R11,"")</x:f>
        <x:v>10</x:v>
      </x:c>
      <x:c r="AB11" s="18" t="str">
        <x:v>Estimated — exact SKU not found; comparable WA 10-piece chocolate/confection package</x:v>
      </x:c>
      <x:c r="AC11" s="18" t="str">
        <x:v>https://www.topshelfdata.com/wa/tacoma/the-gallery-parkland/leaf_product_purchases?business=Stryps&amp;from=2024-04-01</x:v>
      </x:c>
      <x:c r="AD11" t="str">
        <x:f>IF(V11="Weight","Net Wt. "&amp;TEXT(W11,"0.##")&amp;" "&amp;X11&amp;" ("&amp;TEXT(Y11,"0.#")&amp;" "&amp;Z11&amp;")","")</x:f>
        <x:v>Net Wt. 3.52 oz (100. g)</x:v>
      </x:c>
      <x:c r="AE11" t="str">
        <x:v>1 chocolate piece</x:v>
      </x:c>
      <x:c r="AF11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2">
      <x:c r="A12" s="34" t="str">
        <x:v>Good Tide</x:v>
      </x:c>
      <x:c r="B12" s="34" t="str">
        <x:v>Blue Raspberry Hard Candy</x:v>
      </x:c>
      <x:c r="C12" s="34" t="str">
        <x:v>Hard Candy</x:v>
      </x:c>
      <x:c r="D12" s="34" t="str">
        <x:v>THC Edibles</x:v>
      </x:c>
      <x:c r="E12" s="34" t="str">
        <x:v>Rosin</x:v>
      </x:c>
      <x:c r="F12" s="34" t="str">
        <x:v>Indica</x:v>
      </x:c>
      <x:c r="G12" s="34"/>
      <x:c r="H12" s="34" t="str">
        <x:v>THC Only</x:v>
      </x:c>
      <x:c r="I12" s="34"/>
      <x:c r="J12" s="35" t="n">
        <x:v>10</x:v>
      </x:c>
      <x:c r="K12" s="35" t="n">
        <x:f>J12*R12</x:f>
        <x:v>100</x:v>
      </x:c>
      <x:c r="L12" s="35" t="n">
        <x:v>0</x:v>
      </x:c>
      <x:c r="M12" s="35" t="n">
        <x:f>L12*R12</x:f>
        <x:v>0</x:v>
      </x:c>
      <x:c r="N12" s="35" t="n">
        <x:v>0</x:v>
      </x:c>
      <x:c r="O12" s="35" t="n">
        <x:f>N12*R12</x:f>
        <x:v>0</x:v>
      </x:c>
      <x:c r="P12" s="35" t="n">
        <x:v>0</x:v>
      </x:c>
      <x:c r="Q12" s="35" t="n">
        <x:f>P12*R12</x:f>
        <x:v>0</x:v>
      </x:c>
      <x:c r="R12" s="35" t="n">
        <x:v>10</x:v>
      </x:c>
      <x:c r="S12" s="34" t="str">
        <x:v>Blue Raspberry</x:v>
      </x:c>
      <x:c r="T12" s="34" t="str">
        <x:v>Blue raspberry hard candy with a clean, slow-dissolving finish and carefully portioned cannabinoid infusion.</x:v>
      </x:c>
      <x:c r="U12" s="36" t="n">
        <x:v>26</x:v>
      </x:c>
      <x:c r="V12" t="str">
        <x:v>Weight</x:v>
      </x:c>
      <x:c r="W12" s="48" t="n">
        <x:f>IF(ISNUMBER(Y12),ROUNDDOWN(Y12/28.349523125,2),"")</x:f>
        <x:v>1.41</x:v>
      </x:c>
      <x:c r="X12" t="str">
        <x:v>oz</x:v>
      </x:c>
      <x:c r="Y12" s="49" t="n">
        <x:v>40</x:v>
      </x:c>
      <x:c r="Z12" t="str">
        <x:v>g</x:v>
      </x:c>
      <x:c r="AA12" s="48" t="n">
        <x:f>IF(AND(ISNUMBER(Y12),ISNUMBER(R12),R12&gt;0),Y12/R12,"")</x:f>
        <x:v>4</x:v>
      </x:c>
      <x:c r="AB12" s="18" t="str">
        <x:v>Estimated — exact hard-candy SKU not found; Good Tide 10-count edible packs commonly list 40g</x:v>
      </x:c>
      <x:c r="AC12" s="18" t="str">
        <x:v>https://weedmaps.com/brands/good-tide/products/good-tide-kiwi-strawberry-solventless-hass-rosin-gummies-refreshing</x:v>
      </x:c>
      <x:c r="AD12" t="str">
        <x:f>IF(V12="Weight","Net Wt. "&amp;TEXT(W12,"0.##")&amp;" "&amp;X12&amp;" ("&amp;TEXT(Y12,"0.#")&amp;" "&amp;Z12&amp;")","")</x:f>
        <x:v>Net Wt. 1.41 oz (40. g)</x:v>
      </x:c>
      <x:c r="AE12" t="str">
        <x:v>1 candy</x:v>
      </x:c>
      <x:c r="AF12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3">
      <x:c r="A13" s="34" t="str">
        <x:v>Good Tide</x:v>
      </x:c>
      <x:c r="B13" s="34" t="str">
        <x:v>Cherry Hard Candy</x:v>
      </x:c>
      <x:c r="C13" s="34" t="str">
        <x:v>Hard Candy</x:v>
      </x:c>
      <x:c r="D13" s="34" t="str">
        <x:v>THC Edibles</x:v>
      </x:c>
      <x:c r="E13" s="34" t="str">
        <x:v>Distillate</x:v>
      </x:c>
      <x:c r="F13" s="34" t="str">
        <x:v>Indica</x:v>
      </x:c>
      <x:c r="G13" s="34"/>
      <x:c r="H13" s="34" t="str">
        <x:v>THC Only</x:v>
      </x:c>
      <x:c r="I13" s="34"/>
      <x:c r="J13" s="35" t="n">
        <x:v>10</x:v>
      </x:c>
      <x:c r="K13" s="35" t="n">
        <x:f>J13*R13</x:f>
        <x:v>100</x:v>
      </x:c>
      <x:c r="L13" s="35" t="n">
        <x:v>0</x:v>
      </x:c>
      <x:c r="M13" s="35" t="n">
        <x:f>L13*R13</x:f>
        <x:v>0</x:v>
      </x:c>
      <x:c r="N13" s="35" t="n">
        <x:v>0</x:v>
      </x:c>
      <x:c r="O13" s="35" t="n">
        <x:f>N13*R13</x:f>
        <x:v>0</x:v>
      </x:c>
      <x:c r="P13" s="35" t="n">
        <x:v>0</x:v>
      </x:c>
      <x:c r="Q13" s="35" t="n">
        <x:f>P13*R13</x:f>
        <x:v>0</x:v>
      </x:c>
      <x:c r="R13" s="35" t="n">
        <x:v>10</x:v>
      </x:c>
      <x:c r="S13" s="34" t="str">
        <x:v>Blue Raspberry</x:v>
      </x:c>
      <x:c r="T13" s="34" t="str">
        <x:v>Cherry hard candy with a clean, slow-dissolving finish and carefully portioned cannabinoid infusion.</x:v>
      </x:c>
      <x:c r="U13" s="36" t="n">
        <x:v>20</x:v>
      </x:c>
      <x:c r="V13" t="str">
        <x:v>Weight</x:v>
      </x:c>
      <x:c r="W13" s="48" t="n">
        <x:f>IF(ISNUMBER(Y13),ROUNDDOWN(Y13/28.349523125,2),"")</x:f>
        <x:v>1.41</x:v>
      </x:c>
      <x:c r="X13" t="str">
        <x:v>oz</x:v>
      </x:c>
      <x:c r="Y13" s="49" t="n">
        <x:v>40</x:v>
      </x:c>
      <x:c r="Z13" t="str">
        <x:v>g</x:v>
      </x:c>
      <x:c r="AA13" s="48" t="n">
        <x:f>IF(AND(ISNUMBER(Y13),ISNUMBER(R13),R13&gt;0),Y13/R13,"")</x:f>
        <x:v>4</x:v>
      </x:c>
      <x:c r="AB13" s="18" t="str">
        <x:v>Estimated — exact hard-candy SKU not found; Good Tide 10-count edible packs commonly list 40g</x:v>
      </x:c>
      <x:c r="AC13" s="18" t="str">
        <x:v>https://weedmaps.com/brands/good-tide/products/good-tide-kiwi-strawberry-solventless-hass-rosin-gummies-refreshing</x:v>
      </x:c>
      <x:c r="AD13" t="str">
        <x:f>IF(V13="Weight","Net Wt. "&amp;TEXT(W13,"0.##")&amp;" "&amp;X13&amp;" ("&amp;TEXT(Y13,"0.#")&amp;" "&amp;Z13&amp;")","")</x:f>
        <x:v>Net Wt. 1.41 oz (40. g)</x:v>
      </x:c>
      <x:c r="AE13" t="str">
        <x:v>1 candy</x:v>
      </x:c>
      <x:c r="AF13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4">
      <x:c r="A14" s="34" t="str">
        <x:v>Good Tide</x:v>
      </x:c>
      <x:c r="B14" s="34" t="str">
        <x:v>Mango Hard Candy</x:v>
      </x:c>
      <x:c r="C14" s="34" t="str">
        <x:v>Hard Candy</x:v>
      </x:c>
      <x:c r="D14" s="34" t="str">
        <x:v>THC Edibles</x:v>
      </x:c>
      <x:c r="E14" s="34" t="str">
        <x:v>Rosin</x:v>
      </x:c>
      <x:c r="F14" s="34" t="str">
        <x:v>Hybrid</x:v>
      </x:c>
      <x:c r="G14" s="34"/>
      <x:c r="H14" s="34" t="str">
        <x:v>THC Only</x:v>
      </x:c>
      <x:c r="I14" s="34"/>
      <x:c r="J14" s="35" t="n">
        <x:v>10</x:v>
      </x:c>
      <x:c r="K14" s="35" t="n">
        <x:f>J14*R14</x:f>
        <x:v>100</x:v>
      </x:c>
      <x:c r="L14" s="35" t="n">
        <x:v>0</x:v>
      </x:c>
      <x:c r="M14" s="35" t="n">
        <x:f>L14*R14</x:f>
        <x:v>0</x:v>
      </x:c>
      <x:c r="N14" s="35" t="n">
        <x:v>0</x:v>
      </x:c>
      <x:c r="O14" s="35" t="n">
        <x:f>N14*R14</x:f>
        <x:v>0</x:v>
      </x:c>
      <x:c r="P14" s="35" t="n">
        <x:v>0</x:v>
      </x:c>
      <x:c r="Q14" s="35" t="n">
        <x:f>P14*R14</x:f>
        <x:v>0</x:v>
      </x:c>
      <x:c r="R14" s="35" t="n">
        <x:v>10</x:v>
      </x:c>
      <x:c r="S14" s="34" t="str">
        <x:v>Mango</x:v>
      </x:c>
      <x:c r="T14" s="34" t="str">
        <x:v>Mango hard candy with a clean, slow-dissolving finish and carefully portioned cannabinoid infusion.</x:v>
      </x:c>
      <x:c r="U14" s="36" t="n">
        <x:v>26</x:v>
      </x:c>
      <x:c r="V14" t="str">
        <x:v>Weight</x:v>
      </x:c>
      <x:c r="W14" s="48" t="n">
        <x:f>IF(ISNUMBER(Y14),ROUNDDOWN(Y14/28.349523125,2),"")</x:f>
        <x:v>1.41</x:v>
      </x:c>
      <x:c r="X14" t="str">
        <x:v>oz</x:v>
      </x:c>
      <x:c r="Y14" s="49" t="n">
        <x:v>40</x:v>
      </x:c>
      <x:c r="Z14" t="str">
        <x:v>g</x:v>
      </x:c>
      <x:c r="AA14" s="48" t="n">
        <x:f>IF(AND(ISNUMBER(Y14),ISNUMBER(R14),R14&gt;0),Y14/R14,"")</x:f>
        <x:v>4</x:v>
      </x:c>
      <x:c r="AB14" s="18" t="str">
        <x:v>Estimated — exact hard-candy SKU not found; Good Tide 10-count edible packs commonly list 40g</x:v>
      </x:c>
      <x:c r="AC14" s="18" t="str">
        <x:v>https://weedmaps.com/brands/good-tide/products/good-tide-kiwi-strawberry-solventless-hass-rosin-gummies-refreshing</x:v>
      </x:c>
      <x:c r="AD14" t="str">
        <x:f>IF(V14="Weight","Net Wt. "&amp;TEXT(W14,"0.##")&amp;" "&amp;X14&amp;" ("&amp;TEXT(Y14,"0.#")&amp;" "&amp;Z14&amp;")","")</x:f>
        <x:v>Net Wt. 1.41 oz (40. g)</x:v>
      </x:c>
      <x:c r="AE14" t="str">
        <x:v>1 candy</x:v>
      </x:c>
      <x:c r="AF1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5">
      <x:c r="A15" s="34" t="str">
        <x:v>Good Tide</x:v>
      </x:c>
      <x:c r="B15" s="34" t="str">
        <x:v>Watermelon Hard Candy</x:v>
      </x:c>
      <x:c r="C15" s="34" t="str">
        <x:v>Hard Candy</x:v>
      </x:c>
      <x:c r="D15" s="34" t="str">
        <x:v>THC Edibles</x:v>
      </x:c>
      <x:c r="E15" s="34" t="str">
        <x:v>Distillate</x:v>
      </x:c>
      <x:c r="F15" s="34" t="str">
        <x:v>Sativa</x:v>
      </x:c>
      <x:c r="G15" s="34"/>
      <x:c r="H15" s="34" t="str">
        <x:v>THC Only</x:v>
      </x:c>
      <x:c r="I15" s="34"/>
      <x:c r="J15" s="35" t="n">
        <x:v>10</x:v>
      </x:c>
      <x:c r="K15" s="35" t="n">
        <x:f>J15*R15</x:f>
        <x:v>100</x:v>
      </x:c>
      <x:c r="L15" s="35" t="n">
        <x:v>0</x:v>
      </x:c>
      <x:c r="M15" s="35" t="n">
        <x:f>L15*R15</x:f>
        <x:v>0</x:v>
      </x:c>
      <x:c r="N15" s="35" t="n">
        <x:v>0</x:v>
      </x:c>
      <x:c r="O15" s="35" t="n">
        <x:f>N15*R15</x:f>
        <x:v>0</x:v>
      </x:c>
      <x:c r="P15" s="35" t="n">
        <x:v>0</x:v>
      </x:c>
      <x:c r="Q15" s="35" t="n">
        <x:f>P15*R15</x:f>
        <x:v>0</x:v>
      </x:c>
      <x:c r="R15" s="35" t="n">
        <x:v>10</x:v>
      </x:c>
      <x:c r="S15" s="34" t="str">
        <x:v>Strawberry</x:v>
      </x:c>
      <x:c r="T15" s="34" t="str">
        <x:v>Watermelon hard candy with a clean, slow-dissolving finish and carefully portioned cannabinoid infusion.</x:v>
      </x:c>
      <x:c r="U15" s="36" t="n">
        <x:v>20</x:v>
      </x:c>
      <x:c r="V15" t="str">
        <x:v>Weight</x:v>
      </x:c>
      <x:c r="W15" s="48" t="n">
        <x:f>IF(ISNUMBER(Y15),ROUNDDOWN(Y15/28.349523125,2),"")</x:f>
        <x:v>1.41</x:v>
      </x:c>
      <x:c r="X15" t="str">
        <x:v>oz</x:v>
      </x:c>
      <x:c r="Y15" s="49" t="n">
        <x:v>40</x:v>
      </x:c>
      <x:c r="Z15" t="str">
        <x:v>g</x:v>
      </x:c>
      <x:c r="AA15" s="48" t="n">
        <x:f>IF(AND(ISNUMBER(Y15),ISNUMBER(R15),R15&gt;0),Y15/R15,"")</x:f>
        <x:v>4</x:v>
      </x:c>
      <x:c r="AB15" s="18" t="str">
        <x:v>Estimated — exact hard-candy SKU not found; Good Tide 10-count edible packs commonly list 40g</x:v>
      </x:c>
      <x:c r="AC15" s="18" t="str">
        <x:v>https://weedmaps.com/brands/good-tide/products/good-tide-kiwi-strawberry-solventless-hass-rosin-gummies-refreshing</x:v>
      </x:c>
      <x:c r="AD15" t="str">
        <x:f>IF(V15="Weight","Net Wt. "&amp;TEXT(W15,"0.##")&amp;" "&amp;X15&amp;" ("&amp;TEXT(Y15,"0.#")&amp;" "&amp;Z15&amp;")","")</x:f>
        <x:v>Net Wt. 1.41 oz (40. g)</x:v>
      </x:c>
      <x:c r="AE15" t="str">
        <x:v>1 candy</x:v>
      </x:c>
      <x:c r="AF1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6">
      <x:c r="A16" s="34" t="str">
        <x:v>Green Revolution</x:v>
      </x:c>
      <x:c r="B16" s="34" t="str">
        <x:v>Chocolate Chip Cookie Bites</x:v>
      </x:c>
      <x:c r="C16" s="34" t="str">
        <x:v>Baked Goods</x:v>
      </x:c>
      <x:c r="D16" s="34" t="str">
        <x:v>THC Edibles</x:v>
      </x:c>
      <x:c r="E16" s="34" t="str">
        <x:v>Live Rosin</x:v>
      </x:c>
      <x:c r="F16" s="34" t="str">
        <x:v>Sativa</x:v>
      </x:c>
      <x:c r="G16" s="34"/>
      <x:c r="H16" s="34" t="str">
        <x:v>THC Only</x:v>
      </x:c>
      <x:c r="I16" s="34"/>
      <x:c r="J16" s="35" t="n">
        <x:v>10</x:v>
      </x:c>
      <x:c r="K16" s="35" t="n">
        <x:f>J16*R16</x:f>
        <x:v>100</x:v>
      </x:c>
      <x:c r="L16" s="35" t="n">
        <x:v>0</x:v>
      </x:c>
      <x:c r="M16" s="35" t="n">
        <x:f>L16*R16</x:f>
        <x:v>0</x:v>
      </x:c>
      <x:c r="N16" s="35" t="n">
        <x:v>0</x:v>
      </x:c>
      <x:c r="O16" s="35" t="n">
        <x:f>N16*R16</x:f>
        <x:v>0</x:v>
      </x:c>
      <x:c r="P16" s="35" t="n">
        <x:v>0</x:v>
      </x:c>
      <x:c r="Q16" s="35" t="n">
        <x:f>P16*R16</x:f>
        <x:v>0</x:v>
      </x:c>
      <x:c r="R16" s="35" t="n">
        <x:v>10</x:v>
      </x:c>
      <x:c r="S16" s="34" t="str">
        <x:v>Chocolate Chip</x:v>
      </x:c>
      <x:c r="T16" s="34" t="str">
        <x:v>Soft chocolate chip cookie bites baked for satisfying texture and consistent cannabinoid dosing in every serving.</x:v>
      </x:c>
      <x:c r="U16" s="36" t="n">
        <x:v>22</x:v>
      </x:c>
      <x:c r="V16" t="str">
        <x:v>Weight</x:v>
      </x:c>
      <x:c r="W16" s="48" t="n">
        <x:f>IF(ISNUMBER(Y16),ROUNDDOWN(Y16/28.349523125,2),"")</x:f>
        <x:v>3.52</x:v>
      </x:c>
      <x:c r="X16" t="str">
        <x:v>oz</x:v>
      </x:c>
      <x:c r="Y16" s="49" t="n">
        <x:v>100</x:v>
      </x:c>
      <x:c r="Z16" t="str">
        <x:v>g</x:v>
      </x:c>
      <x:c r="AA16" s="48" t="n">
        <x:f>IF(AND(ISNUMBER(Y16),ISNUMBER(R16),R16&gt;0),Y16/R16,"")</x:f>
        <x:v>10</x:v>
      </x:c>
      <x:c r="AB16" s="18" t="str">
        <x:v>Estimated — exact baked SKU not found; GR 10-pack Doozies are 80g, adjusted upward for baked bites</x:v>
      </x:c>
      <x:c r="AC16" s="18" t="str">
        <x:v>https://www.topshelfdata.com/wa/bothell/herbal-nation/leaf_product_purchases?business=Harmony+Farms&amp;from=2024-02-01</x:v>
      </x:c>
      <x:c r="AD16" t="str">
        <x:f>IF(V16="Weight","Net Wt. "&amp;TEXT(W16,"0.##")&amp;" "&amp;X16&amp;" ("&amp;TEXT(Y16,"0.#")&amp;" "&amp;Z16&amp;")","")</x:f>
        <x:v>Net Wt. 3.52 oz (100. g)</x:v>
      </x:c>
      <x:c r="AE16" t="str">
        <x:v>1 bite</x:v>
      </x:c>
      <x:c r="AF16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7">
      <x:c r="A17" s="34" t="str">
        <x:v>Green Revolution</x:v>
      </x:c>
      <x:c r="B17" s="34" t="str">
        <x:v>Fudge Brownie Bites</x:v>
      </x:c>
      <x:c r="C17" s="34" t="str">
        <x:v>Baked Goods</x:v>
      </x:c>
      <x:c r="D17" s="34" t="str">
        <x:v>THC Edibles</x:v>
      </x:c>
      <x:c r="E17" s="34" t="str">
        <x:v>Live Resin</x:v>
      </x:c>
      <x:c r="F17" s="34" t="str">
        <x:v>Sativa</x:v>
      </x:c>
      <x:c r="G17" s="34"/>
      <x:c r="H17" s="34" t="str">
        <x:v>THC Only</x:v>
      </x:c>
      <x:c r="I17" s="34"/>
      <x:c r="J17" s="35" t="n">
        <x:v>10</x:v>
      </x:c>
      <x:c r="K17" s="35" t="n">
        <x:f>J17*R17</x:f>
        <x:v>100</x:v>
      </x:c>
      <x:c r="L17" s="35" t="n">
        <x:v>0</x:v>
      </x:c>
      <x:c r="M17" s="35" t="n">
        <x:f>L17*R17</x:f>
        <x:v>0</x:v>
      </x:c>
      <x:c r="N17" s="35" t="n">
        <x:v>0</x:v>
      </x:c>
      <x:c r="O17" s="35" t="n">
        <x:f>N17*R17</x:f>
        <x:v>0</x:v>
      </x:c>
      <x:c r="P17" s="35" t="n">
        <x:v>0</x:v>
      </x:c>
      <x:c r="Q17" s="35" t="n">
        <x:f>P17*R17</x:f>
        <x:v>0</x:v>
      </x:c>
      <x:c r="R17" s="35" t="n">
        <x:v>10</x:v>
      </x:c>
      <x:c r="S17" s="34" t="str">
        <x:v>Chocolate Chip</x:v>
      </x:c>
      <x:c r="T17" s="34" t="str">
        <x:v>Fudge Brownie Bites provide discreet, precisely measured cannabinoid dosing in an easy-to-take capsule with no added flavors or sugars.</x:v>
      </x:c>
      <x:c r="U17" s="36" t="n">
        <x:v>20</x:v>
      </x:c>
      <x:c r="V17" t="str">
        <x:v>Weight</x:v>
      </x:c>
      <x:c r="W17" s="48" t="n">
        <x:f>IF(ISNUMBER(Y17),ROUNDDOWN(Y17/28.349523125,2),"")</x:f>
        <x:v>3.52</x:v>
      </x:c>
      <x:c r="X17" t="str">
        <x:v>oz</x:v>
      </x:c>
      <x:c r="Y17" s="49" t="n">
        <x:v>100</x:v>
      </x:c>
      <x:c r="Z17" t="str">
        <x:v>g</x:v>
      </x:c>
      <x:c r="AA17" s="48" t="n">
        <x:f>IF(AND(ISNUMBER(Y17),ISNUMBER(R17),R17&gt;0),Y17/R17,"")</x:f>
        <x:v>10</x:v>
      </x:c>
      <x:c r="AB17" s="18" t="str">
        <x:v>Estimated — exact baked SKU not found; GR 10-pack Doozies are 80g, adjusted upward for baked bites</x:v>
      </x:c>
      <x:c r="AC17" s="18" t="str">
        <x:v>https://www.topshelfdata.com/wa/bothell/herbal-nation/leaf_product_purchases?business=Harmony+Farms&amp;from=2024-02-01</x:v>
      </x:c>
      <x:c r="AD17" t="str">
        <x:f>IF(V17="Weight","Net Wt. "&amp;TEXT(W17,"0.##")&amp;" "&amp;X17&amp;" ("&amp;TEXT(Y17,"0.#")&amp;" "&amp;Z17&amp;")","")</x:f>
        <x:v>Net Wt. 3.52 oz (100. g)</x:v>
      </x:c>
      <x:c r="AE17" t="str">
        <x:v>1 bite</x:v>
      </x:c>
      <x:c r="AF17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8">
      <x:c r="A18" s="34" t="str">
        <x:v>Green Revolution</x:v>
      </x:c>
      <x:c r="B18" s="34" t="str">
        <x:v>Double Chocolate Cookie Bites</x:v>
      </x:c>
      <x:c r="C18" s="34" t="str">
        <x:v>Baked Goods</x:v>
      </x:c>
      <x:c r="D18" s="34" t="str">
        <x:v>THC Edibles</x:v>
      </x:c>
      <x:c r="E18" s="34" t="str">
        <x:v>Live Rosin</x:v>
      </x:c>
      <x:c r="F18" s="34" t="str">
        <x:v>Indica</x:v>
      </x:c>
      <x:c r="G18" s="34"/>
      <x:c r="H18" s="34" t="str">
        <x:v>THC Only</x:v>
      </x:c>
      <x:c r="I18" s="34"/>
      <x:c r="J18" s="35" t="n">
        <x:v>10</x:v>
      </x:c>
      <x:c r="K18" s="35" t="n">
        <x:f>J18*R18</x:f>
        <x:v>100</x:v>
      </x:c>
      <x:c r="L18" s="35" t="n">
        <x:v>0</x:v>
      </x:c>
      <x:c r="M18" s="35" t="n">
        <x:f>L18*R18</x:f>
        <x:v>0</x:v>
      </x:c>
      <x:c r="N18" s="35" t="n">
        <x:v>0</x:v>
      </x:c>
      <x:c r="O18" s="35" t="n">
        <x:f>N18*R18</x:f>
        <x:v>0</x:v>
      </x:c>
      <x:c r="P18" s="35" t="n">
        <x:v>0</x:v>
      </x:c>
      <x:c r="Q18" s="35" t="n">
        <x:f>P18*R18</x:f>
        <x:v>0</x:v>
      </x:c>
      <x:c r="R18" s="35" t="n">
        <x:v>10</x:v>
      </x:c>
      <x:c r="S18" s="34" t="str">
        <x:v>Double Chocolate</x:v>
      </x:c>
      <x:c r="T18" s="34" t="str">
        <x:v>Soft double chocolate cookie bites baked for satisfying texture and consistent cannabinoid dosing in every serving.</x:v>
      </x:c>
      <x:c r="U18" s="36" t="n">
        <x:v>22</x:v>
      </x:c>
      <x:c r="V18" t="str">
        <x:v>Weight</x:v>
      </x:c>
      <x:c r="W18" s="48" t="n">
        <x:f>IF(ISNUMBER(Y18),ROUNDDOWN(Y18/28.349523125,2),"")</x:f>
        <x:v>3.52</x:v>
      </x:c>
      <x:c r="X18" t="str">
        <x:v>oz</x:v>
      </x:c>
      <x:c r="Y18" s="49" t="n">
        <x:v>100</x:v>
      </x:c>
      <x:c r="Z18" t="str">
        <x:v>g</x:v>
      </x:c>
      <x:c r="AA18" s="48" t="n">
        <x:f>IF(AND(ISNUMBER(Y18),ISNUMBER(R18),R18&gt;0),Y18/R18,"")</x:f>
        <x:v>10</x:v>
      </x:c>
      <x:c r="AB18" s="18" t="str">
        <x:v>Estimated — exact baked SKU not found; GR 10-pack Doozies are 80g, adjusted upward for baked bites</x:v>
      </x:c>
      <x:c r="AC18" s="18" t="str">
        <x:v>https://www.topshelfdata.com/wa/bothell/herbal-nation/leaf_product_purchases?business=Harmony+Farms&amp;from=2024-02-01</x:v>
      </x:c>
      <x:c r="AD18" t="str">
        <x:f>IF(V18="Weight","Net Wt. "&amp;TEXT(W18,"0.##")&amp;" "&amp;X18&amp;" ("&amp;TEXT(Y18,"0.#")&amp;" "&amp;Z18&amp;")","")</x:f>
        <x:v>Net Wt. 3.52 oz (100. g)</x:v>
      </x:c>
      <x:c r="AE18" t="str">
        <x:v>1 bite</x:v>
      </x:c>
      <x:c r="AF18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19">
      <x:c r="A19" s="34" t="str">
        <x:v>Green Revolution</x:v>
      </x:c>
      <x:c r="B19" s="34" t="str">
        <x:v>Oatmeal Raisin Cookie Bites</x:v>
      </x:c>
      <x:c r="C19" s="34" t="str">
        <x:v>Baked Goods</x:v>
      </x:c>
      <x:c r="D19" s="34" t="str">
        <x:v>THC Edibles</x:v>
      </x:c>
      <x:c r="E19" s="34" t="str">
        <x:v>Live Resin</x:v>
      </x:c>
      <x:c r="F19" s="34" t="str">
        <x:v>Hybrid</x:v>
      </x:c>
      <x:c r="G19" s="34"/>
      <x:c r="H19" s="34" t="str">
        <x:v>THC Only</x:v>
      </x:c>
      <x:c r="I19" s="34"/>
      <x:c r="J19" s="35" t="n">
        <x:v>10</x:v>
      </x:c>
      <x:c r="K19" s="35" t="n">
        <x:f>J19*R19</x:f>
        <x:v>100</x:v>
      </x:c>
      <x:c r="L19" s="35" t="n">
        <x:v>0</x:v>
      </x:c>
      <x:c r="M19" s="35" t="n">
        <x:f>L19*R19</x:f>
        <x:v>0</x:v>
      </x:c>
      <x:c r="N19" s="35" t="n">
        <x:v>0</x:v>
      </x:c>
      <x:c r="O19" s="35" t="n">
        <x:f>N19*R19</x:f>
        <x:v>0</x:v>
      </x:c>
      <x:c r="P19" s="35" t="n">
        <x:v>0</x:v>
      </x:c>
      <x:c r="Q19" s="35" t="n">
        <x:f>P19*R19</x:f>
        <x:v>0</x:v>
      </x:c>
      <x:c r="R19" s="35" t="n">
        <x:v>10</x:v>
      </x:c>
      <x:c r="S19" s="34" t="str">
        <x:v>Oatmeal Raisin</x:v>
      </x:c>
      <x:c r="T19" s="34" t="str">
        <x:v>Soft oatmeal raisin cookie bites baked for satisfying texture and consistent cannabinoid dosing in every serving.</x:v>
      </x:c>
      <x:c r="U19" s="36" t="n">
        <x:v>20</x:v>
      </x:c>
      <x:c r="V19" t="str">
        <x:v>Weight</x:v>
      </x:c>
      <x:c r="W19" s="48" t="n">
        <x:f>IF(ISNUMBER(Y19),ROUNDDOWN(Y19/28.349523125,2),"")</x:f>
        <x:v>3.52</x:v>
      </x:c>
      <x:c r="X19" t="str">
        <x:v>oz</x:v>
      </x:c>
      <x:c r="Y19" s="49" t="n">
        <x:v>100</x:v>
      </x:c>
      <x:c r="Z19" t="str">
        <x:v>g</x:v>
      </x:c>
      <x:c r="AA19" s="48" t="n">
        <x:f>IF(AND(ISNUMBER(Y19),ISNUMBER(R19),R19&gt;0),Y19/R19,"")</x:f>
        <x:v>10</x:v>
      </x:c>
      <x:c r="AB19" s="18" t="str">
        <x:v>Estimated — exact baked SKU not found; GR 10-pack Doozies are 80g, adjusted upward for baked bites</x:v>
      </x:c>
      <x:c r="AC19" s="18" t="str">
        <x:v>https://www.topshelfdata.com/wa/bothell/herbal-nation/leaf_product_purchases?business=Harmony+Farms&amp;from=2024-02-01</x:v>
      </x:c>
      <x:c r="AD19" t="str">
        <x:f>IF(V19="Weight","Net Wt. "&amp;TEXT(W19,"0.##")&amp;" "&amp;X19&amp;" ("&amp;TEXT(Y19,"0.#")&amp;" "&amp;Z19&amp;")","")</x:f>
        <x:v>Net Wt. 3.52 oz (100. g)</x:v>
      </x:c>
      <x:c r="AE19" t="str">
        <x:v>1 bite</x:v>
      </x:c>
      <x:c r="AF19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0">
      <x:c r="A20" s="34" t="str">
        <x:v>Journeyman</x:v>
      </x:c>
      <x:c r="B20" s="34" t="str">
        <x:v>Daily Capsules</x:v>
      </x:c>
      <x:c r="C20" s="34" t="str">
        <x:v>Capsules</x:v>
      </x:c>
      <x:c r="D20" s="34" t="str">
        <x:v>THC Edibles</x:v>
      </x:c>
      <x:c r="E20" s="34" t="str">
        <x:v>Distillate</x:v>
      </x:c>
      <x:c r="F20" s="34" t="str">
        <x:v>Hybrid</x:v>
      </x:c>
      <x:c r="G20" s="34"/>
      <x:c r="H20" s="34" t="str">
        <x:v>THC Only</x:v>
      </x:c>
      <x:c r="I20" s="34"/>
      <x:c r="J20" s="35" t="n">
        <x:v>10</x:v>
      </x:c>
      <x:c r="K20" s="35" t="n">
        <x:f>J20*R20</x:f>
        <x:v>100</x:v>
      </x:c>
      <x:c r="L20" s="35" t="n">
        <x:v>0</x:v>
      </x:c>
      <x:c r="M20" s="35" t="n">
        <x:f>L20*R20</x:f>
        <x:v>0</x:v>
      </x:c>
      <x:c r="N20" s="35" t="n">
        <x:v>0</x:v>
      </x:c>
      <x:c r="O20" s="35" t="n">
        <x:f>N20*R20</x:f>
        <x:v>0</x:v>
      </x:c>
      <x:c r="P20" s="35" t="n">
        <x:v>0</x:v>
      </x:c>
      <x:c r="Q20" s="35" t="n">
        <x:f>P20*R20</x:f>
        <x:v>0</x:v>
      </x:c>
      <x:c r="R20" s="35" t="n">
        <x:v>10</x:v>
      </x:c>
      <x:c r="S20" s="34" t="str">
        <x:v>Unflavored</x:v>
      </x:c>
      <x:c r="T20" s="34" t="str">
        <x:v>Daily Capsules provide discreet, precisely measured cannabinoid dosing in an easy-to-take capsule with no added flavors or sugars.</x:v>
      </x:c>
      <x:c r="U20" s="36" t="n">
        <x:v>24</x:v>
      </x:c>
      <x:c r="V20" t="str">
        <x:v>Weight</x:v>
      </x:c>
      <x:c r="W20" s="48" t="n">
        <x:f>IF(ISNUMBER(Y20),ROUNDDOWN(Y20/28.349523125,2),"")</x:f>
        <x:v>0.35</x:v>
      </x:c>
      <x:c r="X20" t="str">
        <x:v>oz</x:v>
      </x:c>
      <x:c r="Y20" s="49" t="n">
        <x:v>10</x:v>
      </x:c>
      <x:c r="Z20" t="str">
        <x:v>g</x:v>
      </x:c>
      <x:c r="AA20" s="48" t="n">
        <x:f>IF(AND(ISNUMBER(Y20),ISNUMBER(R20),R20&gt;0),Y20/R20,"")</x:f>
        <x:v>1</x:v>
      </x:c>
      <x:c r="AB20" s="18" t="str">
        <x:v>Estimated — exact capsule SKU not found; 10-count capsule format</x:v>
      </x:c>
      <x:c r="AC20" s="18" t="str">
        <x:v>https://www.topshelfdata.com/wa/shelton/sashas-cannabis/leaf_product_purchases?business=Fairwinds+Manufacturing&amp;from=2024-05-01</x:v>
      </x:c>
      <x:c r="AD20" t="str">
        <x:f>IF(V20="Weight","Net Wt. "&amp;TEXT(W20,"0.##")&amp;" "&amp;X20&amp;" ("&amp;TEXT(Y20,"0.#")&amp;" "&amp;Z20&amp;")","")</x:f>
        <x:v>Net Wt. 0.35 oz (10. g)</x:v>
      </x:c>
      <x:c r="AE20" t="str">
        <x:v>1 capsule</x:v>
      </x:c>
      <x:c r="AF20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1">
      <x:c r="A21" s="34" t="str">
        <x:v>Journeyman</x:v>
      </x:c>
      <x:c r="B21" s="34" t="str">
        <x:v>Reserve Capsules</x:v>
      </x:c>
      <x:c r="C21" s="34" t="str">
        <x:v>Capsules</x:v>
      </x:c>
      <x:c r="D21" s="34" t="str">
        <x:v>THC Edibles</x:v>
      </x:c>
      <x:c r="E21" s="34" t="str">
        <x:v>Rosin</x:v>
      </x:c>
      <x:c r="F21" s="34" t="str">
        <x:v>Hybrid</x:v>
      </x:c>
      <x:c r="G21" s="34"/>
      <x:c r="H21" s="34" t="str">
        <x:v>THC Only</x:v>
      </x:c>
      <x:c r="I21" s="34"/>
      <x:c r="J21" s="35" t="n">
        <x:v>10</x:v>
      </x:c>
      <x:c r="K21" s="35" t="n">
        <x:f>J21*R21</x:f>
        <x:v>100</x:v>
      </x:c>
      <x:c r="L21" s="35" t="n">
        <x:v>0</x:v>
      </x:c>
      <x:c r="M21" s="35" t="n">
        <x:f>L21*R21</x:f>
        <x:v>0</x:v>
      </x:c>
      <x:c r="N21" s="35" t="n">
        <x:v>0</x:v>
      </x:c>
      <x:c r="O21" s="35" t="n">
        <x:f>N21*R21</x:f>
        <x:v>0</x:v>
      </x:c>
      <x:c r="P21" s="35" t="n">
        <x:v>0</x:v>
      </x:c>
      <x:c r="Q21" s="35" t="n">
        <x:f>P21*R21</x:f>
        <x:v>0</x:v>
      </x:c>
      <x:c r="R21" s="35" t="n">
        <x:v>10</x:v>
      </x:c>
      <x:c r="S21" s="34" t="str">
        <x:v>Unflavored</x:v>
      </x:c>
      <x:c r="T21" s="34" t="str">
        <x:v>Reserve Capsules provide discreet, precisely measured cannabinoid dosing in an easy-to-take capsule with no added flavors or sugars.</x:v>
      </x:c>
      <x:c r="U21" s="36" t="n">
        <x:v>30</x:v>
      </x:c>
      <x:c r="V21" t="str">
        <x:v>Weight</x:v>
      </x:c>
      <x:c r="W21" s="48" t="n">
        <x:f>IF(ISNUMBER(Y21),ROUNDDOWN(Y21/28.349523125,2),"")</x:f>
        <x:v>0.35</x:v>
      </x:c>
      <x:c r="X21" t="str">
        <x:v>oz</x:v>
      </x:c>
      <x:c r="Y21" s="49" t="n">
        <x:v>10</x:v>
      </x:c>
      <x:c r="Z21" t="str">
        <x:v>g</x:v>
      </x:c>
      <x:c r="AA21" s="48" t="n">
        <x:f>IF(AND(ISNUMBER(Y21),ISNUMBER(R21),R21&gt;0),Y21/R21,"")</x:f>
        <x:v>1</x:v>
      </x:c>
      <x:c r="AB21" s="18" t="str">
        <x:v>Estimated — exact capsule SKU not found; 10-count capsule format</x:v>
      </x:c>
      <x:c r="AC21" s="18" t="str">
        <x:v>https://www.topshelfdata.com/wa/shelton/sashas-cannabis/leaf_product_purchases?business=Fairwinds+Manufacturing&amp;from=2024-05-01</x:v>
      </x:c>
      <x:c r="AD21" t="str">
        <x:f>IF(V21="Weight","Net Wt. "&amp;TEXT(W21,"0.##")&amp;" "&amp;X21&amp;" ("&amp;TEXT(Y21,"0.#")&amp;" "&amp;Z21&amp;")","")</x:f>
        <x:v>Net Wt. 0.35 oz (10. g)</x:v>
      </x:c>
      <x:c r="AE21" t="str">
        <x:v>1 capsule</x:v>
      </x:c>
      <x:c r="AF21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2">
      <x:c r="A22" s="34" t="str">
        <x:v>Journeyman</x:v>
      </x:c>
      <x:c r="B22" s="34" t="str">
        <x:v>Focus Capsules</x:v>
      </x:c>
      <x:c r="C22" s="34" t="str">
        <x:v>Capsules</x:v>
      </x:c>
      <x:c r="D22" s="34" t="str">
        <x:v>THC Edibles</x:v>
      </x:c>
      <x:c r="E22" s="34" t="str">
        <x:v>Distillate</x:v>
      </x:c>
      <x:c r="F22" s="34" t="str">
        <x:v>Sativa</x:v>
      </x:c>
      <x:c r="G22" s="34"/>
      <x:c r="H22" s="34" t="str">
        <x:v>THC Only</x:v>
      </x:c>
      <x:c r="I22" s="34"/>
      <x:c r="J22" s="35" t="n">
        <x:v>10</x:v>
      </x:c>
      <x:c r="K22" s="35" t="n">
        <x:f>J22*R22</x:f>
        <x:v>100</x:v>
      </x:c>
      <x:c r="L22" s="35" t="n">
        <x:v>0</x:v>
      </x:c>
      <x:c r="M22" s="35" t="n">
        <x:f>L22*R22</x:f>
        <x:v>0</x:v>
      </x:c>
      <x:c r="N22" s="35" t="n">
        <x:v>0</x:v>
      </x:c>
      <x:c r="O22" s="35" t="n">
        <x:f>N22*R22</x:f>
        <x:v>0</x:v>
      </x:c>
      <x:c r="P22" s="35" t="n">
        <x:v>0</x:v>
      </x:c>
      <x:c r="Q22" s="35" t="n">
        <x:f>P22*R22</x:f>
        <x:v>0</x:v>
      </x:c>
      <x:c r="R22" s="35" t="n">
        <x:v>10</x:v>
      </x:c>
      <x:c r="S22" s="34" t="str">
        <x:v>Unflavored</x:v>
      </x:c>
      <x:c r="T22" s="34" t="str">
        <x:v>Focus Capsules provide discreet, precisely measured cannabinoid dosing in an easy-to-take capsule with no added flavors or sugars.</x:v>
      </x:c>
      <x:c r="U22" s="36" t="n">
        <x:v>24</x:v>
      </x:c>
      <x:c r="V22" t="str">
        <x:v>Weight</x:v>
      </x:c>
      <x:c r="W22" s="48" t="n">
        <x:f>IF(ISNUMBER(Y22),ROUNDDOWN(Y22/28.349523125,2),"")</x:f>
        <x:v>0.35</x:v>
      </x:c>
      <x:c r="X22" t="str">
        <x:v>oz</x:v>
      </x:c>
      <x:c r="Y22" s="49" t="n">
        <x:v>10</x:v>
      </x:c>
      <x:c r="Z22" t="str">
        <x:v>g</x:v>
      </x:c>
      <x:c r="AA22" s="48" t="n">
        <x:f>IF(AND(ISNUMBER(Y22),ISNUMBER(R22),R22&gt;0),Y22/R22,"")</x:f>
        <x:v>1</x:v>
      </x:c>
      <x:c r="AB22" s="18" t="str">
        <x:v>Estimated — exact capsule SKU not found; 10-count capsule format</x:v>
      </x:c>
      <x:c r="AC22" s="18" t="str">
        <x:v>https://www.topshelfdata.com/wa/shelton/sashas-cannabis/leaf_product_purchases?business=Fairwinds+Manufacturing&amp;from=2024-05-01</x:v>
      </x:c>
      <x:c r="AD22" t="str">
        <x:f>IF(V22="Weight","Net Wt. "&amp;TEXT(W22,"0.##")&amp;" "&amp;X22&amp;" ("&amp;TEXT(Y22,"0.#")&amp;" "&amp;Z22&amp;")","")</x:f>
        <x:v>Net Wt. 0.35 oz (10. g)</x:v>
      </x:c>
      <x:c r="AE22" t="str">
        <x:v>1 capsule</x:v>
      </x:c>
      <x:c r="AF22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3">
      <x:c r="A23" s="34" t="str">
        <x:v>Journeyman</x:v>
      </x:c>
      <x:c r="B23" s="34" t="str">
        <x:v>Evening Capsules</x:v>
      </x:c>
      <x:c r="C23" s="34" t="str">
        <x:v>Capsules</x:v>
      </x:c>
      <x:c r="D23" s="34" t="str">
        <x:v>THC Edibles</x:v>
      </x:c>
      <x:c r="E23" s="34" t="str">
        <x:v>Rosin</x:v>
      </x:c>
      <x:c r="F23" s="34" t="str">
        <x:v>Indica</x:v>
      </x:c>
      <x:c r="G23" s="34"/>
      <x:c r="H23" s="34" t="str">
        <x:v>THC Only</x:v>
      </x:c>
      <x:c r="I23" s="34"/>
      <x:c r="J23" s="35" t="n">
        <x:v>10</x:v>
      </x:c>
      <x:c r="K23" s="35" t="n">
        <x:f>J23*R23</x:f>
        <x:v>100</x:v>
      </x:c>
      <x:c r="L23" s="35" t="n">
        <x:v>0</x:v>
      </x:c>
      <x:c r="M23" s="35" t="n">
        <x:f>L23*R23</x:f>
        <x:v>0</x:v>
      </x:c>
      <x:c r="N23" s="35" t="n">
        <x:v>0</x:v>
      </x:c>
      <x:c r="O23" s="35" t="n">
        <x:f>N23*R23</x:f>
        <x:v>0</x:v>
      </x:c>
      <x:c r="P23" s="35" t="n">
        <x:v>0</x:v>
      </x:c>
      <x:c r="Q23" s="35" t="n">
        <x:f>P23*R23</x:f>
        <x:v>0</x:v>
      </x:c>
      <x:c r="R23" s="35" t="n">
        <x:v>10</x:v>
      </x:c>
      <x:c r="S23" s="34" t="str">
        <x:v>Unflavored</x:v>
      </x:c>
      <x:c r="T23" s="34" t="str">
        <x:v>Evening Capsules provide discreet, precisely measured cannabinoid dosing in an easy-to-take capsule with no added flavors or sugars.</x:v>
      </x:c>
      <x:c r="U23" s="36" t="n">
        <x:v>30</x:v>
      </x:c>
      <x:c r="V23" t="str">
        <x:v>Weight</x:v>
      </x:c>
      <x:c r="W23" s="48" t="n">
        <x:f>IF(ISNUMBER(Y23),ROUNDDOWN(Y23/28.349523125,2),"")</x:f>
        <x:v>0.35</x:v>
      </x:c>
      <x:c r="X23" t="str">
        <x:v>oz</x:v>
      </x:c>
      <x:c r="Y23" s="49" t="n">
        <x:v>10</x:v>
      </x:c>
      <x:c r="Z23" t="str">
        <x:v>g</x:v>
      </x:c>
      <x:c r="AA23" s="48" t="n">
        <x:f>IF(AND(ISNUMBER(Y23),ISNUMBER(R23),R23&gt;0),Y23/R23,"")</x:f>
        <x:v>1</x:v>
      </x:c>
      <x:c r="AB23" s="18" t="str">
        <x:v>Estimated — exact capsule SKU not found; 10-count capsule format</x:v>
      </x:c>
      <x:c r="AC23" s="18" t="str">
        <x:v>https://www.topshelfdata.com/wa/shelton/sashas-cannabis/leaf_product_purchases?business=Fairwinds+Manufacturing&amp;from=2024-05-01</x:v>
      </x:c>
      <x:c r="AD23" t="str">
        <x:f>IF(V23="Weight","Net Wt. "&amp;TEXT(W23,"0.##")&amp;" "&amp;X23&amp;" ("&amp;TEXT(Y23,"0.#")&amp;" "&amp;Z23&amp;")","")</x:f>
        <x:v>Net Wt. 0.35 oz (10. g)</x:v>
      </x:c>
      <x:c r="AE23" t="str">
        <x:v>1 capsule</x:v>
      </x:c>
      <x:c r="AF23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4">
      <x:c r="A24" s="34" t="str">
        <x:v>Marmas</x:v>
      </x:c>
      <x:c r="B24" s="34" t="str">
        <x:v>Pear Gummies</x:v>
      </x:c>
      <x:c r="C24" s="34" t="str">
        <x:v>Gummies</x:v>
      </x:c>
      <x:c r="D24" s="34" t="str">
        <x:v>THC Edibles</x:v>
      </x:c>
      <x:c r="E24" s="34" t="str">
        <x:v>Live Rosin</x:v>
      </x:c>
      <x:c r="F24" s="34" t="str">
        <x:v>Sativa</x:v>
      </x:c>
      <x:c r="G24" s="34"/>
      <x:c r="H24" s="34" t="str">
        <x:v>THC Only</x:v>
      </x:c>
      <x:c r="I24" s="34"/>
      <x:c r="J24" s="35" t="n">
        <x:v>10</x:v>
      </x:c>
      <x:c r="K24" s="35" t="n">
        <x:f>J24*R24</x:f>
        <x:v>100</x:v>
      </x:c>
      <x:c r="L24" s="35" t="n">
        <x:v>0</x:v>
      </x:c>
      <x:c r="M24" s="35" t="n">
        <x:f>L24*R24</x:f>
        <x:v>0</x:v>
      </x:c>
      <x:c r="N24" s="35" t="n">
        <x:v>0</x:v>
      </x:c>
      <x:c r="O24" s="35" t="n">
        <x:f>N24*R24</x:f>
        <x:v>0</x:v>
      </x:c>
      <x:c r="P24" s="35" t="n">
        <x:v>0</x:v>
      </x:c>
      <x:c r="Q24" s="35" t="n">
        <x:f>P24*R24</x:f>
        <x:v>0</x:v>
      </x:c>
      <x:c r="R24" s="35" t="n">
        <x:v>10</x:v>
      </x:c>
      <x:c r="S24" s="34" t="str">
        <x:v>Blackberry</x:v>
      </x:c>
      <x:c r="T24" s="34" t="str">
        <x:v>Soft pear gummies made with quality ingredients and precisely infused cannabinoids for consistent flavor and reliable dosing.</x:v>
      </x:c>
      <x:c r="U24" s="36" t="n">
        <x:v>24</x:v>
      </x:c>
      <x:c r="V24" t="str">
        <x:v>Weight</x:v>
      </x:c>
      <x:c r="W24" s="48" t="n">
        <x:f>IF(ISNUMBER(Y24),ROUNDDOWN(Y24/28.349523125,2),"")</x:f>
        <x:v>1.76</x:v>
      </x:c>
      <x:c r="X24" t="str">
        <x:v>oz</x:v>
      </x:c>
      <x:c r="Y24" s="49" t="n">
        <x:v>50</x:v>
      </x:c>
      <x:c r="Z24" t="str">
        <x:v>g</x:v>
      </x:c>
      <x:c r="AA24" s="48" t="n">
        <x:f>IF(AND(ISNUMBER(Y24),ISNUMBER(R24),R24&gt;0),Y24/R24,"")</x:f>
        <x:v>5</x:v>
      </x:c>
      <x:c r="AB24" s="18" t="str">
        <x:v>Researched — Marmas 10-pack examples in WA traceability data</x:v>
      </x:c>
      <x:c r="AC24" s="18" t="str">
        <x:v>https://www.topshelfdata.com/wa/tacoma/diamond-green/leaf_product_purchases?business=Mt+Baker+Homegrown&amp;from=2024-07-01</x:v>
      </x:c>
      <x:c r="AD24" t="str">
        <x:f>IF(V24="Weight","Net Wt. "&amp;TEXT(W24,"0.##")&amp;" "&amp;X24&amp;" ("&amp;TEXT(Y24,"0.#")&amp;" "&amp;Z24&amp;")","")</x:f>
        <x:v>Net Wt. 1.76 oz (50. g)</x:v>
      </x:c>
      <x:c r="AE24" t="str">
        <x:v>1 gummy</x:v>
      </x:c>
      <x:c r="AF2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5">
      <x:c r="A25" s="34" t="str">
        <x:v>Marmas</x:v>
      </x:c>
      <x:c r="B25" s="34" t="str">
        <x:v>Peach Gummies</x:v>
      </x:c>
      <x:c r="C25" s="34" t="str">
        <x:v>Gummies</x:v>
      </x:c>
      <x:c r="D25" s="34" t="str">
        <x:v>THC Edibles</x:v>
      </x:c>
      <x:c r="E25" s="34" t="str">
        <x:v>Live Resin</x:v>
      </x:c>
      <x:c r="F25" s="34" t="str">
        <x:v>Indica</x:v>
      </x:c>
      <x:c r="G25" s="34"/>
      <x:c r="H25" s="34" t="str">
        <x:v>THC Only</x:v>
      </x:c>
      <x:c r="I25" s="34"/>
      <x:c r="J25" s="35" t="n">
        <x:v>10</x:v>
      </x:c>
      <x:c r="K25" s="35" t="n">
        <x:f>J25*R25</x:f>
        <x:v>100</x:v>
      </x:c>
      <x:c r="L25" s="35" t="n">
        <x:v>0</x:v>
      </x:c>
      <x:c r="M25" s="35" t="n">
        <x:f>L25*R25</x:f>
        <x:v>0</x:v>
      </x:c>
      <x:c r="N25" s="35" t="n">
        <x:v>0</x:v>
      </x:c>
      <x:c r="O25" s="35" t="n">
        <x:f>N25*R25</x:f>
        <x:v>0</x:v>
      </x:c>
      <x:c r="P25" s="35" t="n">
        <x:v>0</x:v>
      </x:c>
      <x:c r="Q25" s="35" t="n">
        <x:f>P25*R25</x:f>
        <x:v>0</x:v>
      </x:c>
      <x:c r="R25" s="35" t="n">
        <x:v>10</x:v>
      </x:c>
      <x:c r="S25" s="34" t="str">
        <x:v>Huckleberry</x:v>
      </x:c>
      <x:c r="T25" s="34" t="str">
        <x:v>Soft peach gummies made with quality ingredients and precisely infused cannabinoids for consistent flavor and reliable dosing.</x:v>
      </x:c>
      <x:c r="U25" s="36" t="n">
        <x:v>22</x:v>
      </x:c>
      <x:c r="V25" t="str">
        <x:v>Weight</x:v>
      </x:c>
      <x:c r="W25" s="48" t="n">
        <x:f>IF(ISNUMBER(Y25),ROUNDDOWN(Y25/28.349523125,2),"")</x:f>
        <x:v>1.76</x:v>
      </x:c>
      <x:c r="X25" t="str">
        <x:v>oz</x:v>
      </x:c>
      <x:c r="Y25" s="49" t="n">
        <x:v>50</x:v>
      </x:c>
      <x:c r="Z25" t="str">
        <x:v>g</x:v>
      </x:c>
      <x:c r="AA25" s="48" t="n">
        <x:f>IF(AND(ISNUMBER(Y25),ISNUMBER(R25),R25&gt;0),Y25/R25,"")</x:f>
        <x:v>5</x:v>
      </x:c>
      <x:c r="AB25" s="18" t="str">
        <x:v>Researched — Marmas 10-pack examples in WA traceability data</x:v>
      </x:c>
      <x:c r="AC25" s="18" t="str">
        <x:v>https://www.topshelfdata.com/wa/tacoma/diamond-green/leaf_product_purchases?business=Mt+Baker+Homegrown&amp;from=2024-07-01</x:v>
      </x:c>
      <x:c r="AD25" t="str">
        <x:f>IF(V25="Weight","Net Wt. "&amp;TEXT(W25,"0.##")&amp;" "&amp;X25&amp;" ("&amp;TEXT(Y25,"0.#")&amp;" "&amp;Z25&amp;")","")</x:f>
        <x:v>Net Wt. 1.76 oz (50. g)</x:v>
      </x:c>
      <x:c r="AE25" t="str">
        <x:v>1 gummy</x:v>
      </x:c>
      <x:c r="AF2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6">
      <x:c r="A26" s="34" t="str">
        <x:v>Marmas</x:v>
      </x:c>
      <x:c r="B26" s="34" t="str">
        <x:v>Pineapple Gummies</x:v>
      </x:c>
      <x:c r="C26" s="34" t="str">
        <x:v>Gummies</x:v>
      </x:c>
      <x:c r="D26" s="34" t="str">
        <x:v>THC Edibles</x:v>
      </x:c>
      <x:c r="E26" s="34" t="str">
        <x:v>Live Resin</x:v>
      </x:c>
      <x:c r="F26" s="34" t="str">
        <x:v>Hybrid</x:v>
      </x:c>
      <x:c r="G26" s="34"/>
      <x:c r="H26" s="34" t="str">
        <x:v>THC Only</x:v>
      </x:c>
      <x:c r="I26" s="34"/>
      <x:c r="J26" s="35" t="n">
        <x:v>10</x:v>
      </x:c>
      <x:c r="K26" s="35" t="n">
        <x:f>J26*R26</x:f>
        <x:v>100</x:v>
      </x:c>
      <x:c r="L26" s="35" t="n">
        <x:v>0</x:v>
      </x:c>
      <x:c r="M26" s="35" t="n">
        <x:f>L26*R26</x:f>
        <x:v>0</x:v>
      </x:c>
      <x:c r="N26" s="35" t="n">
        <x:v>0</x:v>
      </x:c>
      <x:c r="O26" s="35" t="n">
        <x:f>N26*R26</x:f>
        <x:v>0</x:v>
      </x:c>
      <x:c r="P26" s="35" t="n">
        <x:v>0</x:v>
      </x:c>
      <x:c r="Q26" s="35" t="n">
        <x:f>P26*R26</x:f>
        <x:v>0</x:v>
      </x:c>
      <x:c r="R26" s="35" t="n">
        <x:v>10</x:v>
      </x:c>
      <x:c r="S26" s="34" t="str">
        <x:v>Pineapple</x:v>
      </x:c>
      <x:c r="T26" s="34" t="str">
        <x:v>Soft pineapple gummies made with quality ingredients and precisely infused cannabinoids for consistent flavor and reliable dosing.</x:v>
      </x:c>
      <x:c r="U26" s="36" t="n">
        <x:v>22</x:v>
      </x:c>
      <x:c r="V26" t="str">
        <x:v>Weight</x:v>
      </x:c>
      <x:c r="W26" s="48" t="n">
        <x:f>IF(ISNUMBER(Y26),ROUNDDOWN(Y26/28.349523125,2),"")</x:f>
        <x:v>1.76</x:v>
      </x:c>
      <x:c r="X26" t="str">
        <x:v>oz</x:v>
      </x:c>
      <x:c r="Y26" s="49" t="n">
        <x:v>50</x:v>
      </x:c>
      <x:c r="Z26" t="str">
        <x:v>g</x:v>
      </x:c>
      <x:c r="AA26" s="48" t="n">
        <x:f>IF(AND(ISNUMBER(Y26),ISNUMBER(R26),R26&gt;0),Y26/R26,"")</x:f>
        <x:v>5</x:v>
      </x:c>
      <x:c r="AB26" s="18" t="str">
        <x:v>Researched — Marmas 10-pack examples in WA traceability data</x:v>
      </x:c>
      <x:c r="AC26" s="18" t="str">
        <x:v>https://www.topshelfdata.com/wa/tacoma/diamond-green/leaf_product_purchases?business=Mt+Baker+Homegrown&amp;from=2024-07-01</x:v>
      </x:c>
      <x:c r="AD26" t="str">
        <x:f>IF(V26="Weight","Net Wt. "&amp;TEXT(W26,"0.##")&amp;" "&amp;X26&amp;" ("&amp;TEXT(Y26,"0.#")&amp;" "&amp;Z26&amp;")","")</x:f>
        <x:v>Net Wt. 1.76 oz (50. g)</x:v>
      </x:c>
      <x:c r="AE26" t="str">
        <x:v>1 gummy</x:v>
      </x:c>
      <x:c r="AF26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7">
      <x:c r="A27" s="34" t="str">
        <x:v>Pioneer Squares</x:v>
      </x:c>
      <x:c r="B27" s="34" t="str">
        <x:v>Espresso Chocolates</x:v>
      </x:c>
      <x:c r="C27" s="34" t="str">
        <x:v>Chocolate</x:v>
      </x:c>
      <x:c r="D27" s="34" t="str">
        <x:v>THC Edibles</x:v>
      </x:c>
      <x:c r="E27" s="34" t="str">
        <x:v>Distillate</x:v>
      </x:c>
      <x:c r="F27" s="34" t="str">
        <x:v>Hybrid</x:v>
      </x:c>
      <x:c r="G27" s="34"/>
      <x:c r="H27" s="34" t="str">
        <x:v>THC Only</x:v>
      </x:c>
      <x:c r="I27" s="34"/>
      <x:c r="J27" s="35" t="n">
        <x:v>10</x:v>
      </x:c>
      <x:c r="K27" s="35" t="n">
        <x:f>J27*R27</x:f>
        <x:v>100</x:v>
      </x:c>
      <x:c r="L27" s="35" t="n">
        <x:v>0</x:v>
      </x:c>
      <x:c r="M27" s="35" t="n">
        <x:f>L27*R27</x:f>
        <x:v>0</x:v>
      </x:c>
      <x:c r="N27" s="35" t="n">
        <x:v>0</x:v>
      </x:c>
      <x:c r="O27" s="35" t="n">
        <x:f>N27*R27</x:f>
        <x:v>0</x:v>
      </x:c>
      <x:c r="P27" s="35" t="n">
        <x:v>0</x:v>
      </x:c>
      <x:c r="Q27" s="35" t="n">
        <x:f>P27*R27</x:f>
        <x:v>0</x:v>
      </x:c>
      <x:c r="R27" s="35" t="n">
        <x:v>10</x:v>
      </x:c>
      <x:c r="S27" s="34" t="str">
        <x:v>Dark Chocolate</x:v>
      </x:c>
      <x:c r="T27" s="34" t="str">
        <x:v>Premium espresso chocolates crafted with smooth cocoa and evenly infused cannabinoids for a rich, consistent experience.</x:v>
      </x:c>
      <x:c r="U27" s="36" t="n">
        <x:v>18</x:v>
      </x:c>
      <x:c r="V27" t="str">
        <x:v>Weight</x:v>
      </x:c>
      <x:c r="W27" s="48" t="n">
        <x:f>IF(ISNUMBER(Y27),ROUNDDOWN(Y27/28.349523125,2),"")</x:f>
        <x:v>3.49</x:v>
      </x:c>
      <x:c r="X27" t="str">
        <x:v>oz</x:v>
      </x:c>
      <x:c r="Y27" s="49" t="n">
        <x:v>99.2</x:v>
      </x:c>
      <x:c r="Z27" t="str">
        <x:v>g</x:v>
      </x:c>
      <x:c r="AA27" s="48" t="n">
        <x:f>IF(AND(ISNUMBER(Y27),ISNUMBER(R27),R27&gt;0),Y27/R27,"")</x:f>
        <x:v>9.92</x:v>
      </x:c>
      <x:c r="AB27" s="18" t="str">
        <x:v>Researched — Pioneer Squares 10-pack WA traceability example</x:v>
      </x:c>
      <x:c r="AC27" s="18" t="str">
        <x:v>https://www.topshelfdata.com/wa/tacoma/the-gallery-parkland/leaf_product_purchases?business=Stryps&amp;from=2024-04-01</x:v>
      </x:c>
      <x:c r="AD27" t="str">
        <x:f>IF(V27="Weight","Net Wt. "&amp;TEXT(W27,"0.##")&amp;" "&amp;X27&amp;" ("&amp;TEXT(Y27,"0.#")&amp;" "&amp;Z27&amp;")","")</x:f>
        <x:v>Net Wt. 3.49 oz (99.2 g)</x:v>
      </x:c>
      <x:c r="AE27" t="str">
        <x:v>1 chocolate piece</x:v>
      </x:c>
      <x:c r="AF27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8">
      <x:c r="A28" s="34" t="str">
        <x:v>Pioneer Squares</x:v>
      </x:c>
      <x:c r="B28" s="34" t="str">
        <x:v>Peanut Butter Chocolates</x:v>
      </x:c>
      <x:c r="C28" s="34" t="str">
        <x:v>Chocolate</x:v>
      </x:c>
      <x:c r="D28" s="34" t="str">
        <x:v>THC Edibles</x:v>
      </x:c>
      <x:c r="E28" s="34" t="str">
        <x:v>Rosin</x:v>
      </x:c>
      <x:c r="F28" s="34" t="str">
        <x:v>Sativa</x:v>
      </x:c>
      <x:c r="G28" s="34"/>
      <x:c r="H28" s="34" t="str">
        <x:v>THC Only</x:v>
      </x:c>
      <x:c r="I28" s="34"/>
      <x:c r="J28" s="35" t="n">
        <x:v>10</x:v>
      </x:c>
      <x:c r="K28" s="35" t="n">
        <x:f>J28*R28</x:f>
        <x:v>100</x:v>
      </x:c>
      <x:c r="L28" s="35" t="n">
        <x:v>0</x:v>
      </x:c>
      <x:c r="M28" s="35" t="n">
        <x:f>L28*R28</x:f>
        <x:v>0</x:v>
      </x:c>
      <x:c r="N28" s="35" t="n">
        <x:v>0</x:v>
      </x:c>
      <x:c r="O28" s="35" t="n">
        <x:f>N28*R28</x:f>
        <x:v>0</x:v>
      </x:c>
      <x:c r="P28" s="35" t="n">
        <x:v>0</x:v>
      </x:c>
      <x:c r="Q28" s="35" t="n">
        <x:f>P28*R28</x:f>
        <x:v>0</x:v>
      </x:c>
      <x:c r="R28" s="35" t="n">
        <x:v>10</x:v>
      </x:c>
      <x:c r="S28" s="34" t="str">
        <x:v>Lemon</x:v>
      </x:c>
      <x:c r="T28" s="34" t="str">
        <x:v>Premium peanut butter chocolates crafted with smooth cocoa and evenly infused cannabinoids for a rich, consistent experience.</x:v>
      </x:c>
      <x:c r="U28" s="36" t="n">
        <x:v>22</x:v>
      </x:c>
      <x:c r="V28" t="str">
        <x:v>Weight</x:v>
      </x:c>
      <x:c r="W28" s="48" t="n">
        <x:f>IF(ISNUMBER(Y28),ROUNDDOWN(Y28/28.349523125,2),"")</x:f>
        <x:v>3.49</x:v>
      </x:c>
      <x:c r="X28" t="str">
        <x:v>oz</x:v>
      </x:c>
      <x:c r="Y28" s="49" t="n">
        <x:v>99.2</x:v>
      </x:c>
      <x:c r="Z28" t="str">
        <x:v>g</x:v>
      </x:c>
      <x:c r="AA28" s="48" t="n">
        <x:f>IF(AND(ISNUMBER(Y28),ISNUMBER(R28),R28&gt;0),Y28/R28,"")</x:f>
        <x:v>9.92</x:v>
      </x:c>
      <x:c r="AB28" s="18" t="str">
        <x:v>Researched — Pioneer Squares 10-pack WA traceability example</x:v>
      </x:c>
      <x:c r="AC28" s="18" t="str">
        <x:v>https://www.topshelfdata.com/wa/tacoma/the-gallery-parkland/leaf_product_purchases?business=Stryps&amp;from=2024-04-01</x:v>
      </x:c>
      <x:c r="AD28" t="str">
        <x:f>IF(V28="Weight","Net Wt. "&amp;TEXT(W28,"0.##")&amp;" "&amp;X28&amp;" ("&amp;TEXT(Y28,"0.#")&amp;" "&amp;Z28&amp;")","")</x:f>
        <x:v>Net Wt. 3.49 oz (99.2 g)</x:v>
      </x:c>
      <x:c r="AE28" t="str">
        <x:v>1 chocolate piece</x:v>
      </x:c>
      <x:c r="AF28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29">
      <x:c r="A29" s="34" t="str">
        <x:v>Pioneer Squares</x:v>
      </x:c>
      <x:c r="B29" s="34" t="str">
        <x:v>Raspberry Chocolates</x:v>
      </x:c>
      <x:c r="C29" s="34" t="str">
        <x:v>Chocolate</x:v>
      </x:c>
      <x:c r="D29" s="34" t="str">
        <x:v>THC Edibles</x:v>
      </x:c>
      <x:c r="E29" s="34" t="str">
        <x:v>Rosin</x:v>
      </x:c>
      <x:c r="F29" s="34" t="str">
        <x:v>Indica</x:v>
      </x:c>
      <x:c r="G29" s="34"/>
      <x:c r="H29" s="34" t="str">
        <x:v>THC Only</x:v>
      </x:c>
      <x:c r="I29" s="34"/>
      <x:c r="J29" s="35" t="n">
        <x:v>10</x:v>
      </x:c>
      <x:c r="K29" s="35" t="n">
        <x:f>J29*R29</x:f>
        <x:v>100</x:v>
      </x:c>
      <x:c r="L29" s="35" t="n">
        <x:v>0</x:v>
      </x:c>
      <x:c r="M29" s="35" t="n">
        <x:f>L29*R29</x:f>
        <x:v>0</x:v>
      </x:c>
      <x:c r="N29" s="35" t="n">
        <x:v>0</x:v>
      </x:c>
      <x:c r="O29" s="35" t="n">
        <x:f>N29*R29</x:f>
        <x:v>0</x:v>
      </x:c>
      <x:c r="P29" s="35" t="n">
        <x:v>0</x:v>
      </x:c>
      <x:c r="Q29" s="35" t="n">
        <x:f>P29*R29</x:f>
        <x:v>0</x:v>
      </x:c>
      <x:c r="R29" s="35" t="n">
        <x:v>10</x:v>
      </x:c>
      <x:c r="S29" s="34" t="str">
        <x:v>Raspberry</x:v>
      </x:c>
      <x:c r="T29" s="34" t="str">
        <x:v>Premium raspberry chocolates crafted with smooth cocoa and evenly infused cannabinoids for a rich, consistent experience.</x:v>
      </x:c>
      <x:c r="U29" s="36" t="n">
        <x:v>22</x:v>
      </x:c>
      <x:c r="V29" t="str">
        <x:v>Weight</x:v>
      </x:c>
      <x:c r="W29" s="48" t="n">
        <x:f>IF(ISNUMBER(Y29),ROUNDDOWN(Y29/28.349523125,2),"")</x:f>
        <x:v>3.49</x:v>
      </x:c>
      <x:c r="X29" t="str">
        <x:v>oz</x:v>
      </x:c>
      <x:c r="Y29" s="49" t="n">
        <x:v>99.2</x:v>
      </x:c>
      <x:c r="Z29" t="str">
        <x:v>g</x:v>
      </x:c>
      <x:c r="AA29" s="48" t="n">
        <x:f>IF(AND(ISNUMBER(Y29),ISNUMBER(R29),R29&gt;0),Y29/R29,"")</x:f>
        <x:v>9.92</x:v>
      </x:c>
      <x:c r="AB29" s="18" t="str">
        <x:v>Researched — Pioneer Squares 10-pack WA traceability example</x:v>
      </x:c>
      <x:c r="AC29" s="18" t="str">
        <x:v>https://www.topshelfdata.com/wa/tacoma/the-gallery-parkland/leaf_product_purchases?business=Stryps&amp;from=2024-04-01</x:v>
      </x:c>
      <x:c r="AD29" t="str">
        <x:f>IF(V29="Weight","Net Wt. "&amp;TEXT(W29,"0.##")&amp;" "&amp;X29&amp;" ("&amp;TEXT(Y29,"0.#")&amp;" "&amp;Z29&amp;")","")</x:f>
        <x:v>Net Wt. 3.49 oz (99.2 g)</x:v>
      </x:c>
      <x:c r="AE29" t="str">
        <x:v>1 chocolate piece</x:v>
      </x:c>
      <x:c r="AF29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0">
      <x:c r="A30" s="34" t="str">
        <x:v>Swifts</x:v>
      </x:c>
      <x:c r="B30" s="34" t="str">
        <x:v>Green Apple Hard Candy</x:v>
      </x:c>
      <x:c r="C30" s="34" t="str">
        <x:v>Hard Candy</x:v>
      </x:c>
      <x:c r="D30" s="34" t="str">
        <x:v>THC Edibles</x:v>
      </x:c>
      <x:c r="E30" s="34" t="str">
        <x:v>Live Resin</x:v>
      </x:c>
      <x:c r="F30" s="34" t="str">
        <x:v>Indica</x:v>
      </x:c>
      <x:c r="G30" s="34"/>
      <x:c r="H30" s="34" t="str">
        <x:v>THC Only</x:v>
      </x:c>
      <x:c r="I30" s="34"/>
      <x:c r="J30" s="35" t="n">
        <x:v>10</x:v>
      </x:c>
      <x:c r="K30" s="35" t="n">
        <x:f>J30*R30</x:f>
        <x:v>100</x:v>
      </x:c>
      <x:c r="L30" s="35" t="n">
        <x:v>0</x:v>
      </x:c>
      <x:c r="M30" s="35" t="n">
        <x:f>L30*R30</x:f>
        <x:v>0</x:v>
      </x:c>
      <x:c r="N30" s="35" t="n">
        <x:v>0</x:v>
      </x:c>
      <x:c r="O30" s="35" t="n">
        <x:f>N30*R30</x:f>
        <x:v>0</x:v>
      </x:c>
      <x:c r="P30" s="35" t="n">
        <x:v>0</x:v>
      </x:c>
      <x:c r="Q30" s="35" t="n">
        <x:f>P30*R30</x:f>
        <x:v>0</x:v>
      </x:c>
      <x:c r="R30" s="35" t="n">
        <x:v>10</x:v>
      </x:c>
      <x:c r="S30" s="34" t="str">
        <x:v>Blue Raspberry</x:v>
      </x:c>
      <x:c r="T30" s="34" t="str">
        <x:v>Green apple hard candy with a clean, slow-dissolving finish and carefully portioned cannabinoid infusion.</x:v>
      </x:c>
      <x:c r="U30" s="36" t="n">
        <x:v>22</x:v>
      </x:c>
      <x:c r="V30" t="str">
        <x:v>Weight</x:v>
      </x:c>
      <x:c r="W30" s="48" t="n">
        <x:f>IF(ISNUMBER(Y30),ROUNDDOWN(Y30/28.349523125,2),"")</x:f>
        <x:v>1.41</x:v>
      </x:c>
      <x:c r="X30" t="str">
        <x:v>oz</x:v>
      </x:c>
      <x:c r="Y30" s="49" t="n">
        <x:v>40</x:v>
      </x:c>
      <x:c r="Z30" t="str">
        <x:v>g</x:v>
      </x:c>
      <x:c r="AA30" s="48" t="n">
        <x:f>IF(AND(ISNUMBER(Y30),ISNUMBER(R30),R30&gt;0),Y30/R30,"")</x:f>
        <x:v>4</x:v>
      </x:c>
      <x:c r="AB30" s="18" t="str">
        <x:v>Estimated — exact net weight not found; Swifts sells 10/20-pack hard-candy formats</x:v>
      </x:c>
      <x:c r="AC30" s="18" t="str">
        <x:v>https://www.washingtonweedstores.com/brands/Swifts</x:v>
      </x:c>
      <x:c r="AD30" t="str">
        <x:f>IF(V30="Weight","Net Wt. "&amp;TEXT(W30,"0.##")&amp;" "&amp;X30&amp;" ("&amp;TEXT(Y30,"0.#")&amp;" "&amp;Z30&amp;")","")</x:f>
        <x:v>Net Wt. 1.41 oz (40. g)</x:v>
      </x:c>
      <x:c r="AE30" t="str">
        <x:v>1 candy</x:v>
      </x:c>
      <x:c r="AF30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1">
      <x:c r="A31" s="34" t="str">
        <x:v>Swifts</x:v>
      </x:c>
      <x:c r="B31" s="34" t="str">
        <x:v>Strawberry Hard Candy</x:v>
      </x:c>
      <x:c r="C31" s="34" t="str">
        <x:v>Hard Candy</x:v>
      </x:c>
      <x:c r="D31" s="34" t="str">
        <x:v>THC Edibles</x:v>
      </x:c>
      <x:c r="E31" s="34" t="str">
        <x:v>Live Rosin</x:v>
      </x:c>
      <x:c r="F31" s="34" t="str">
        <x:v>Hybrid</x:v>
      </x:c>
      <x:c r="G31" s="34"/>
      <x:c r="H31" s="34" t="str">
        <x:v>THC Only</x:v>
      </x:c>
      <x:c r="I31" s="34"/>
      <x:c r="J31" s="35" t="n">
        <x:v>10</x:v>
      </x:c>
      <x:c r="K31" s="35" t="n">
        <x:f>J31*R31</x:f>
        <x:v>100</x:v>
      </x:c>
      <x:c r="L31" s="35" t="n">
        <x:v>0</x:v>
      </x:c>
      <x:c r="M31" s="35" t="n">
        <x:f>L31*R31</x:f>
        <x:v>0</x:v>
      </x:c>
      <x:c r="N31" s="35" t="n">
        <x:v>0</x:v>
      </x:c>
      <x:c r="O31" s="35" t="n">
        <x:f>N31*R31</x:f>
        <x:v>0</x:v>
      </x:c>
      <x:c r="P31" s="35" t="n">
        <x:v>0</x:v>
      </x:c>
      <x:c r="Q31" s="35" t="n">
        <x:f>P31*R31</x:f>
        <x:v>0</x:v>
      </x:c>
      <x:c r="R31" s="35" t="n">
        <x:v>10</x:v>
      </x:c>
      <x:c r="S31" s="34" t="str">
        <x:v>Mango</x:v>
      </x:c>
      <x:c r="T31" s="34" t="str">
        <x:v>Strawberry hard candy with a clean, slow-dissolving finish and carefully portioned cannabinoid infusion.</x:v>
      </x:c>
      <x:c r="U31" s="36" t="n">
        <x:v>24</x:v>
      </x:c>
      <x:c r="V31" t="str">
        <x:v>Weight</x:v>
      </x:c>
      <x:c r="W31" s="48" t="n">
        <x:f>IF(ISNUMBER(Y31),ROUNDDOWN(Y31/28.349523125,2),"")</x:f>
        <x:v>1.41</x:v>
      </x:c>
      <x:c r="X31" t="str">
        <x:v>oz</x:v>
      </x:c>
      <x:c r="Y31" s="49" t="n">
        <x:v>40</x:v>
      </x:c>
      <x:c r="Z31" t="str">
        <x:v>g</x:v>
      </x:c>
      <x:c r="AA31" s="48" t="n">
        <x:f>IF(AND(ISNUMBER(Y31),ISNUMBER(R31),R31&gt;0),Y31/R31,"")</x:f>
        <x:v>4</x:v>
      </x:c>
      <x:c r="AB31" s="18" t="str">
        <x:v>Estimated — exact net weight not found; Swifts sells 10/20-pack hard-candy formats</x:v>
      </x:c>
      <x:c r="AC31" s="18" t="str">
        <x:v>https://www.washingtonweedstores.com/brands/Swifts</x:v>
      </x:c>
      <x:c r="AD31" t="str">
        <x:f>IF(V31="Weight","Net Wt. "&amp;TEXT(W31,"0.##")&amp;" "&amp;X31&amp;" ("&amp;TEXT(Y31,"0.#")&amp;" "&amp;Z31&amp;")","")</x:f>
        <x:v>Net Wt. 1.41 oz (40. g)</x:v>
      </x:c>
      <x:c r="AE31" t="str">
        <x:v>1 candy</x:v>
      </x:c>
      <x:c r="AF31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2">
      <x:c r="A32" s="34" t="str">
        <x:v>Swifts</x:v>
      </x:c>
      <x:c r="B32" s="34" t="str">
        <x:v>Pear Hard Candy</x:v>
      </x:c>
      <x:c r="C32" s="34" t="str">
        <x:v>Hard Candy</x:v>
      </x:c>
      <x:c r="D32" s="34" t="str">
        <x:v>THC Edibles</x:v>
      </x:c>
      <x:c r="E32" s="34" t="str">
        <x:v>Live Rosin</x:v>
      </x:c>
      <x:c r="F32" s="34" t="str">
        <x:v>Sativa</x:v>
      </x:c>
      <x:c r="G32" s="34"/>
      <x:c r="H32" s="34" t="str">
        <x:v>THC Only</x:v>
      </x:c>
      <x:c r="I32" s="34"/>
      <x:c r="J32" s="35" t="n">
        <x:v>10</x:v>
      </x:c>
      <x:c r="K32" s="35" t="n">
        <x:f>J32*R32</x:f>
        <x:v>100</x:v>
      </x:c>
      <x:c r="L32" s="35" t="n">
        <x:v>0</x:v>
      </x:c>
      <x:c r="M32" s="35" t="n">
        <x:f>L32*R32</x:f>
        <x:v>0</x:v>
      </x:c>
      <x:c r="N32" s="35" t="n">
        <x:v>0</x:v>
      </x:c>
      <x:c r="O32" s="35" t="n">
        <x:f>N32*R32</x:f>
        <x:v>0</x:v>
      </x:c>
      <x:c r="P32" s="35" t="n">
        <x:v>0</x:v>
      </x:c>
      <x:c r="Q32" s="35" t="n">
        <x:f>P32*R32</x:f>
        <x:v>0</x:v>
      </x:c>
      <x:c r="R32" s="35" t="n">
        <x:v>10</x:v>
      </x:c>
      <x:c r="S32" s="34" t="str">
        <x:v>Strawberry</x:v>
      </x:c>
      <x:c r="T32" s="34" t="str">
        <x:v>Pear hard candy with a clean, slow-dissolving finish and carefully portioned cannabinoid infusion.</x:v>
      </x:c>
      <x:c r="U32" s="36" t="n">
        <x:v>24</x:v>
      </x:c>
      <x:c r="V32" t="str">
        <x:v>Weight</x:v>
      </x:c>
      <x:c r="W32" s="48" t="n">
        <x:f>IF(ISNUMBER(Y32),ROUNDDOWN(Y32/28.349523125,2),"")</x:f>
        <x:v>1.41</x:v>
      </x:c>
      <x:c r="X32" t="str">
        <x:v>oz</x:v>
      </x:c>
      <x:c r="Y32" s="49" t="n">
        <x:v>40</x:v>
      </x:c>
      <x:c r="Z32" t="str">
        <x:v>g</x:v>
      </x:c>
      <x:c r="AA32" s="48" t="n">
        <x:f>IF(AND(ISNUMBER(Y32),ISNUMBER(R32),R32&gt;0),Y32/R32,"")</x:f>
        <x:v>4</x:v>
      </x:c>
      <x:c r="AB32" s="18" t="str">
        <x:v>Estimated — exact net weight not found; Swifts sells 10/20-pack hard-candy formats</x:v>
      </x:c>
      <x:c r="AC32" s="18" t="str">
        <x:v>https://www.washingtonweedstores.com/brands/Swifts</x:v>
      </x:c>
      <x:c r="AD32" t="str">
        <x:f>IF(V32="Weight","Net Wt. "&amp;TEXT(W32,"0.##")&amp;" "&amp;X32&amp;" ("&amp;TEXT(Y32,"0.#")&amp;" "&amp;Z32&amp;")","")</x:f>
        <x:v>Net Wt. 1.41 oz (40. g)</x:v>
      </x:c>
      <x:c r="AE32" t="str">
        <x:v>1 candy</x:v>
      </x:c>
      <x:c r="AF32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3">
      <x:c r="A33" s="34" t="str">
        <x:v>Verdelux</x:v>
      </x:c>
      <x:c r="B33" s="34" t="str">
        <x:v>Snickerdoodle Cookie Bites</x:v>
      </x:c>
      <x:c r="C33" s="34" t="str">
        <x:v>Baked Goods</x:v>
      </x:c>
      <x:c r="D33" s="34" t="str">
        <x:v>THC Edibles</x:v>
      </x:c>
      <x:c r="E33" s="34" t="str">
        <x:v>Rosin</x:v>
      </x:c>
      <x:c r="F33" s="34" t="str">
        <x:v>Sativa</x:v>
      </x:c>
      <x:c r="G33" s="34"/>
      <x:c r="H33" s="34" t="str">
        <x:v>THC Only</x:v>
      </x:c>
      <x:c r="I33" s="34"/>
      <x:c r="J33" s="35" t="n">
        <x:v>10</x:v>
      </x:c>
      <x:c r="K33" s="35" t="n">
        <x:f>J33*R33</x:f>
        <x:v>100</x:v>
      </x:c>
      <x:c r="L33" s="35" t="n">
        <x:v>0</x:v>
      </x:c>
      <x:c r="M33" s="35" t="n">
        <x:f>L33*R33</x:f>
        <x:v>0</x:v>
      </x:c>
      <x:c r="N33" s="35" t="n">
        <x:v>0</x:v>
      </x:c>
      <x:c r="O33" s="35" t="n">
        <x:f>N33*R33</x:f>
        <x:v>0</x:v>
      </x:c>
      <x:c r="P33" s="35" t="n">
        <x:v>0</x:v>
      </x:c>
      <x:c r="Q33" s="35" t="n">
        <x:f>P33*R33</x:f>
        <x:v>0</x:v>
      </x:c>
      <x:c r="R33" s="35" t="n">
        <x:v>10</x:v>
      </x:c>
      <x:c r="S33" s="34" t="str">
        <x:v>Chocolate Chip</x:v>
      </x:c>
      <x:c r="T33" s="34" t="str">
        <x:v>Soft snickerdoodle cookie bites baked for satisfying texture and consistent cannabinoid dosing in every serving.</x:v>
      </x:c>
      <x:c r="U33" s="36" t="n">
        <x:v>22</x:v>
      </x:c>
      <x:c r="V33" t="str">
        <x:v>Weight</x:v>
      </x:c>
      <x:c r="W33" s="48" t="n">
        <x:f>IF(ISNUMBER(Y33),ROUNDDOWN(Y33/28.349523125,2),"")</x:f>
        <x:v>3.52</x:v>
      </x:c>
      <x:c r="X33" t="str">
        <x:v>oz</x:v>
      </x:c>
      <x:c r="Y33" s="49" t="n">
        <x:v>100</x:v>
      </x:c>
      <x:c r="Z33" t="str">
        <x:v>g</x:v>
      </x:c>
      <x:c r="AA33" s="48" t="n">
        <x:f>IF(AND(ISNUMBER(Y33),ISNUMBER(R33),R33&gt;0),Y33/R33,"")</x:f>
        <x:v>10</x:v>
      </x:c>
      <x:c r="AB33" s="18" t="str">
        <x:v>Estimated — exact cookie-bite SKU not found; based on Verdelux WA confection weights</x:v>
      </x:c>
      <x:c r="AC33" s="18" t="str">
        <x:v>https://www.topshelfdata.com/wa/clarkston/greenfield-company-cannabis-mercantile/leaf_product_purchases?business=&amp;from=2023-03-01</x:v>
      </x:c>
      <x:c r="AD33" t="str">
        <x:f>IF(V33="Weight","Net Wt. "&amp;TEXT(W33,"0.##")&amp;" "&amp;X33&amp;" ("&amp;TEXT(Y33,"0.#")&amp;" "&amp;Z33&amp;")","")</x:f>
        <x:v>Net Wt. 3.52 oz (100. g)</x:v>
      </x:c>
      <x:c r="AE33" t="str">
        <x:v>1 bite</x:v>
      </x:c>
      <x:c r="AF33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4">
      <x:c r="A34" s="34" t="str">
        <x:v>Verdelux</x:v>
      </x:c>
      <x:c r="B34" s="34" t="str">
        <x:v>Peanut Butter Cookie Bites</x:v>
      </x:c>
      <x:c r="C34" s="34" t="str">
        <x:v>Baked Goods</x:v>
      </x:c>
      <x:c r="D34" s="34" t="str">
        <x:v>THC Edibles</x:v>
      </x:c>
      <x:c r="E34" s="34" t="str">
        <x:v>Distillate</x:v>
      </x:c>
      <x:c r="F34" s="34" t="str">
        <x:v>Indica</x:v>
      </x:c>
      <x:c r="G34" s="34"/>
      <x:c r="H34" s="34" t="str">
        <x:v>THC Only</x:v>
      </x:c>
      <x:c r="I34" s="34"/>
      <x:c r="J34" s="35" t="n">
        <x:v>10</x:v>
      </x:c>
      <x:c r="K34" s="35" t="n">
        <x:f>J34*R34</x:f>
        <x:v>100</x:v>
      </x:c>
      <x:c r="L34" s="35" t="n">
        <x:v>0</x:v>
      </x:c>
      <x:c r="M34" s="35" t="n">
        <x:f>L34*R34</x:f>
        <x:v>0</x:v>
      </x:c>
      <x:c r="N34" s="35" t="n">
        <x:v>0</x:v>
      </x:c>
      <x:c r="O34" s="35" t="n">
        <x:f>N34*R34</x:f>
        <x:v>0</x:v>
      </x:c>
      <x:c r="P34" s="35" t="n">
        <x:v>0</x:v>
      </x:c>
      <x:c r="Q34" s="35" t="n">
        <x:f>P34*R34</x:f>
        <x:v>0</x:v>
      </x:c>
      <x:c r="R34" s="35" t="n">
        <x:v>10</x:v>
      </x:c>
      <x:c r="S34" s="34" t="str">
        <x:v>Peach</x:v>
      </x:c>
      <x:c r="T34" s="34" t="str">
        <x:v>Soft peanut butter cookie bites baked for satisfying texture and consistent cannabinoid dosing in every serving.</x:v>
      </x:c>
      <x:c r="U34" s="36" t="n">
        <x:v>18</x:v>
      </x:c>
      <x:c r="V34" t="str">
        <x:v>Weight</x:v>
      </x:c>
      <x:c r="W34" s="48" t="n">
        <x:f>IF(ISNUMBER(Y34),ROUNDDOWN(Y34/28.349523125,2),"")</x:f>
        <x:v>3.52</x:v>
      </x:c>
      <x:c r="X34" t="str">
        <x:v>oz</x:v>
      </x:c>
      <x:c r="Y34" s="49" t="n">
        <x:v>100</x:v>
      </x:c>
      <x:c r="Z34" t="str">
        <x:v>g</x:v>
      </x:c>
      <x:c r="AA34" s="48" t="n">
        <x:f>IF(AND(ISNUMBER(Y34),ISNUMBER(R34),R34&gt;0),Y34/R34,"")</x:f>
        <x:v>10</x:v>
      </x:c>
      <x:c r="AB34" s="18" t="str">
        <x:v>Estimated — exact cookie-bite SKU not found; based on Verdelux WA confection weights</x:v>
      </x:c>
      <x:c r="AC34" s="18" t="str">
        <x:v>https://www.topshelfdata.com/wa/clarkston/greenfield-company-cannabis-mercantile/leaf_product_purchases?business=&amp;from=2023-03-01</x:v>
      </x:c>
      <x:c r="AD34" t="str">
        <x:f>IF(V34="Weight","Net Wt. "&amp;TEXT(W34,"0.##")&amp;" "&amp;X34&amp;" ("&amp;TEXT(Y34,"0.#")&amp;" "&amp;Z34&amp;")","")</x:f>
        <x:v>Net Wt. 3.52 oz (100. g)</x:v>
      </x:c>
      <x:c r="AE34" t="str">
        <x:v>1 bite</x:v>
      </x:c>
      <x:c r="AF3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5">
      <x:c r="A35" s="34" t="str">
        <x:v>Verdelux</x:v>
      </x:c>
      <x:c r="B35" s="34" t="str">
        <x:v>Chocolate Chip Cookie Bites</x:v>
      </x:c>
      <x:c r="C35" s="34" t="str">
        <x:v>Baked Goods</x:v>
      </x:c>
      <x:c r="D35" s="34" t="str">
        <x:v>THC Edibles</x:v>
      </x:c>
      <x:c r="E35" s="34" t="str">
        <x:v>Distillate</x:v>
      </x:c>
      <x:c r="F35" s="34" t="str">
        <x:v>Hybrid</x:v>
      </x:c>
      <x:c r="G35" s="34"/>
      <x:c r="H35" s="34" t="str">
        <x:v>THC Only</x:v>
      </x:c>
      <x:c r="I35" s="34"/>
      <x:c r="J35" s="35" t="n">
        <x:v>10</x:v>
      </x:c>
      <x:c r="K35" s="35" t="n">
        <x:f>J35*R35</x:f>
        <x:v>100</x:v>
      </x:c>
      <x:c r="L35" s="35" t="n">
        <x:v>0</x:v>
      </x:c>
      <x:c r="M35" s="35" t="n">
        <x:f>L35*R35</x:f>
        <x:v>0</x:v>
      </x:c>
      <x:c r="N35" s="35" t="n">
        <x:v>0</x:v>
      </x:c>
      <x:c r="O35" s="35" t="n">
        <x:f>N35*R35</x:f>
        <x:v>0</x:v>
      </x:c>
      <x:c r="P35" s="35" t="n">
        <x:v>0</x:v>
      </x:c>
      <x:c r="Q35" s="35" t="n">
        <x:f>P35*R35</x:f>
        <x:v>0</x:v>
      </x:c>
      <x:c r="R35" s="35" t="n">
        <x:v>10</x:v>
      </x:c>
      <x:c r="S35" s="34" t="str">
        <x:v>Oatmeal Raisin</x:v>
      </x:c>
      <x:c r="T35" s="34" t="str">
        <x:v>Soft chocolate chip cookie bites baked for satisfying texture and consistent cannabinoid dosing in every serving.</x:v>
      </x:c>
      <x:c r="U35" s="36" t="n">
        <x:v>18</x:v>
      </x:c>
      <x:c r="V35" t="str">
        <x:v>Weight</x:v>
      </x:c>
      <x:c r="W35" s="48" t="n">
        <x:f>IF(ISNUMBER(Y35),ROUNDDOWN(Y35/28.349523125,2),"")</x:f>
        <x:v>3.52</x:v>
      </x:c>
      <x:c r="X35" t="str">
        <x:v>oz</x:v>
      </x:c>
      <x:c r="Y35" s="49" t="n">
        <x:v>100</x:v>
      </x:c>
      <x:c r="Z35" t="str">
        <x:v>g</x:v>
      </x:c>
      <x:c r="AA35" s="48" t="n">
        <x:f>IF(AND(ISNUMBER(Y35),ISNUMBER(R35),R35&gt;0),Y35/R35,"")</x:f>
        <x:v>10</x:v>
      </x:c>
      <x:c r="AB35" s="18" t="str">
        <x:v>Estimated — exact cookie-bite SKU not found; based on Verdelux WA confection weights</x:v>
      </x:c>
      <x:c r="AC35" s="18" t="str">
        <x:v>https://www.topshelfdata.com/wa/clarkston/greenfield-company-cannabis-mercantile/leaf_product_purchases?business=&amp;from=2023-03-01</x:v>
      </x:c>
      <x:c r="AD35" t="str">
        <x:f>IF(V35="Weight","Net Wt. "&amp;TEXT(W35,"0.##")&amp;" "&amp;X35&amp;" ("&amp;TEXT(Y35,"0.#")&amp;" "&amp;Z35&amp;")","")</x:f>
        <x:v>Net Wt. 3.52 oz (100. g)</x:v>
      </x:c>
      <x:c r="AE35" t="str">
        <x:v>1 bite</x:v>
      </x:c>
      <x:c r="AF3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6">
      <x:c r="A36" s="34" t="str">
        <x:v>Wyld</x:v>
      </x:c>
      <x:c r="B36" s="34" t="str">
        <x:v>Harmony Capsules</x:v>
      </x:c>
      <x:c r="C36" s="34" t="str">
        <x:v>Capsules</x:v>
      </x:c>
      <x:c r="D36" s="34" t="str">
        <x:v>THC Edibles</x:v>
      </x:c>
      <x:c r="E36" s="34" t="str">
        <x:v>Live Rosin</x:v>
      </x:c>
      <x:c r="F36" s="34" t="str">
        <x:v>Hybrid</x:v>
      </x:c>
      <x:c r="G36" s="34"/>
      <x:c r="H36" s="34" t="str">
        <x:v>THC Only</x:v>
      </x:c>
      <x:c r="I36" s="34"/>
      <x:c r="J36" s="35" t="n">
        <x:v>10</x:v>
      </x:c>
      <x:c r="K36" s="35" t="n">
        <x:f>J36*R36</x:f>
        <x:v>100</x:v>
      </x:c>
      <x:c r="L36" s="35" t="n">
        <x:v>0</x:v>
      </x:c>
      <x:c r="M36" s="35" t="n">
        <x:f>L36*R36</x:f>
        <x:v>0</x:v>
      </x:c>
      <x:c r="N36" s="35" t="n">
        <x:v>0</x:v>
      </x:c>
      <x:c r="O36" s="35" t="n">
        <x:f>N36*R36</x:f>
        <x:v>0</x:v>
      </x:c>
      <x:c r="P36" s="35" t="n">
        <x:v>0</x:v>
      </x:c>
      <x:c r="Q36" s="35" t="n">
        <x:f>P36*R36</x:f>
        <x:v>0</x:v>
      </x:c>
      <x:c r="R36" s="35" t="n">
        <x:v>10</x:v>
      </x:c>
      <x:c r="S36" s="34" t="str">
        <x:v>Unflavored</x:v>
      </x:c>
      <x:c r="T36" s="34" t="str">
        <x:v>Harmony Capsules provide discreet, precisely measured cannabinoid dosing in an easy-to-take capsule with no added flavors or sugars.</x:v>
      </x:c>
      <x:c r="U36" s="36" t="n">
        <x:v>30</x:v>
      </x:c>
      <x:c r="V36" t="str">
        <x:v>Weight</x:v>
      </x:c>
      <x:c r="W36" s="48" t="n">
        <x:f>IF(ISNUMBER(Y36),ROUNDDOWN(Y36/28.349523125,2),"")</x:f>
        <x:v>0.35</x:v>
      </x:c>
      <x:c r="X36" t="str">
        <x:v>oz</x:v>
      </x:c>
      <x:c r="Y36" s="49" t="n">
        <x:v>10</x:v>
      </x:c>
      <x:c r="Z36" t="str">
        <x:v>g</x:v>
      </x:c>
      <x:c r="AA36" s="48" t="n">
        <x:f>IF(AND(ISNUMBER(Y36),ISNUMBER(R36),R36&gt;0),Y36/R36,"")</x:f>
        <x:v>1</x:v>
      </x:c>
      <x:c r="AB36" s="18" t="str">
        <x:v>Estimated — exact capsule SKU not found; 10-count capsule format</x:v>
      </x:c>
      <x:c r="AC36" s="18" t="str">
        <x:v>https://www.topshelfdata.com/wa/shelton/sashas-cannabis/leaf_product_purchases?business=Fairwinds+Manufacturing&amp;from=2024-05-01</x:v>
      </x:c>
      <x:c r="AD36" t="str">
        <x:f>IF(V36="Weight","Net Wt. "&amp;TEXT(W36,"0.##")&amp;" "&amp;X36&amp;" ("&amp;TEXT(Y36,"0.#")&amp;" "&amp;Z36&amp;")","")</x:f>
        <x:v>Net Wt. 0.35 oz (10. g)</x:v>
      </x:c>
      <x:c r="AE36" t="str">
        <x:v>1 capsule</x:v>
      </x:c>
      <x:c r="AF36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7">
      <x:c r="A37" s="34" t="str">
        <x:v>Wyld</x:v>
      </x:c>
      <x:c r="B37" s="34" t="str">
        <x:v>Lift Capsules</x:v>
      </x:c>
      <x:c r="C37" s="34" t="str">
        <x:v>Capsules</x:v>
      </x:c>
      <x:c r="D37" s="34" t="str">
        <x:v>THC Edibles</x:v>
      </x:c>
      <x:c r="E37" s="34" t="str">
        <x:v>Live Resin</x:v>
      </x:c>
      <x:c r="F37" s="34" t="str">
        <x:v>Sativa</x:v>
      </x:c>
      <x:c r="G37" s="34"/>
      <x:c r="H37" s="34" t="str">
        <x:v>THC Only</x:v>
      </x:c>
      <x:c r="I37" s="34"/>
      <x:c r="J37" s="35" t="n">
        <x:v>10</x:v>
      </x:c>
      <x:c r="K37" s="35" t="n">
        <x:f>J37*R37</x:f>
        <x:v>100</x:v>
      </x:c>
      <x:c r="L37" s="35" t="n">
        <x:v>0</x:v>
      </x:c>
      <x:c r="M37" s="35" t="n">
        <x:f>L37*R37</x:f>
        <x:v>0</x:v>
      </x:c>
      <x:c r="N37" s="35" t="n">
        <x:v>0</x:v>
      </x:c>
      <x:c r="O37" s="35" t="n">
        <x:f>N37*R37</x:f>
        <x:v>0</x:v>
      </x:c>
      <x:c r="P37" s="35" t="n">
        <x:v>0</x:v>
      </x:c>
      <x:c r="Q37" s="35" t="n">
        <x:f>P37*R37</x:f>
        <x:v>0</x:v>
      </x:c>
      <x:c r="R37" s="35" t="n">
        <x:v>10</x:v>
      </x:c>
      <x:c r="S37" s="34" t="str">
        <x:v>Unflavored</x:v>
      </x:c>
      <x:c r="T37" s="34" t="str">
        <x:v>Lift Capsules provide discreet, precisely measured cannabinoid dosing in an easy-to-take capsule with no added flavors or sugars.</x:v>
      </x:c>
      <x:c r="U37" s="36" t="n">
        <x:v>28</x:v>
      </x:c>
      <x:c r="V37" t="str">
        <x:v>Weight</x:v>
      </x:c>
      <x:c r="W37" s="48" t="n">
        <x:f>IF(ISNUMBER(Y37),ROUNDDOWN(Y37/28.349523125,2),"")</x:f>
        <x:v>0.35</x:v>
      </x:c>
      <x:c r="X37" t="str">
        <x:v>oz</x:v>
      </x:c>
      <x:c r="Y37" s="49" t="n">
        <x:v>10</x:v>
      </x:c>
      <x:c r="Z37" t="str">
        <x:v>g</x:v>
      </x:c>
      <x:c r="AA37" s="48" t="n">
        <x:f>IF(AND(ISNUMBER(Y37),ISNUMBER(R37),R37&gt;0),Y37/R37,"")</x:f>
        <x:v>1</x:v>
      </x:c>
      <x:c r="AB37" s="18" t="str">
        <x:v>Estimated — exact capsule SKU not found; 10-count capsule format</x:v>
      </x:c>
      <x:c r="AC37" s="18" t="str">
        <x:v>https://www.topshelfdata.com/wa/shelton/sashas-cannabis/leaf_product_purchases?business=Fairwinds+Manufacturing&amp;from=2024-05-01</x:v>
      </x:c>
      <x:c r="AD37" t="str">
        <x:f>IF(V37="Weight","Net Wt. "&amp;TEXT(W37,"0.##")&amp;" "&amp;X37&amp;" ("&amp;TEXT(Y37,"0.#")&amp;" "&amp;Z37&amp;")","")</x:f>
        <x:v>Net Wt. 0.35 oz (10. g)</x:v>
      </x:c>
      <x:c r="AE37" t="str">
        <x:v>1 capsule</x:v>
      </x:c>
      <x:c r="AF37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8">
      <x:c r="A38" s="34" t="str">
        <x:v>Wyld</x:v>
      </x:c>
      <x:c r="B38" s="34" t="str">
        <x:v>Rest Capsules</x:v>
      </x:c>
      <x:c r="C38" s="34" t="str">
        <x:v>Capsules</x:v>
      </x:c>
      <x:c r="D38" s="34" t="str">
        <x:v>THC Edibles</x:v>
      </x:c>
      <x:c r="E38" s="34" t="str">
        <x:v>Live Resin</x:v>
      </x:c>
      <x:c r="F38" s="34" t="str">
        <x:v>Indica</x:v>
      </x:c>
      <x:c r="G38" s="34"/>
      <x:c r="H38" s="34" t="str">
        <x:v>THC Only</x:v>
      </x:c>
      <x:c r="I38" s="34"/>
      <x:c r="J38" s="35" t="n">
        <x:v>10</x:v>
      </x:c>
      <x:c r="K38" s="35" t="n">
        <x:f>J38*R38</x:f>
        <x:v>100</x:v>
      </x:c>
      <x:c r="L38" s="35" t="n">
        <x:v>0</x:v>
      </x:c>
      <x:c r="M38" s="35" t="n">
        <x:f>L38*R38</x:f>
        <x:v>0</x:v>
      </x:c>
      <x:c r="N38" s="35" t="n">
        <x:v>0</x:v>
      </x:c>
      <x:c r="O38" s="35" t="n">
        <x:f>N38*R38</x:f>
        <x:v>0</x:v>
      </x:c>
      <x:c r="P38" s="35" t="n">
        <x:v>0</x:v>
      </x:c>
      <x:c r="Q38" s="35" t="n">
        <x:f>P38*R38</x:f>
        <x:v>0</x:v>
      </x:c>
      <x:c r="R38" s="35" t="n">
        <x:v>10</x:v>
      </x:c>
      <x:c r="S38" s="34" t="str">
        <x:v>Unflavored</x:v>
      </x:c>
      <x:c r="T38" s="34" t="str">
        <x:v>Rest Capsules provide discreet, precisely measured cannabinoid dosing in an easy-to-take capsule with no added flavors or sugars.</x:v>
      </x:c>
      <x:c r="U38" s="36" t="n">
        <x:v>28</x:v>
      </x:c>
      <x:c r="V38" t="str">
        <x:v>Weight</x:v>
      </x:c>
      <x:c r="W38" s="48" t="n">
        <x:f>IF(ISNUMBER(Y38),ROUNDDOWN(Y38/28.349523125,2),"")</x:f>
        <x:v>0.35</x:v>
      </x:c>
      <x:c r="X38" t="str">
        <x:v>oz</x:v>
      </x:c>
      <x:c r="Y38" s="49" t="n">
        <x:v>10</x:v>
      </x:c>
      <x:c r="Z38" t="str">
        <x:v>g</x:v>
      </x:c>
      <x:c r="AA38" s="48" t="n">
        <x:f>IF(AND(ISNUMBER(Y38),ISNUMBER(R38),R38&gt;0),Y38/R38,"")</x:f>
        <x:v>1</x:v>
      </x:c>
      <x:c r="AB38" s="18" t="str">
        <x:v>Estimated — exact capsule SKU not found; 10-count capsule format</x:v>
      </x:c>
      <x:c r="AC38" s="18" t="str">
        <x:v>https://www.topshelfdata.com/wa/shelton/sashas-cannabis/leaf_product_purchases?business=Fairwinds+Manufacturing&amp;from=2024-05-01</x:v>
      </x:c>
      <x:c r="AD38" t="str">
        <x:f>IF(V38="Weight","Net Wt. "&amp;TEXT(W38,"0.##")&amp;" "&amp;X38&amp;" ("&amp;TEXT(Y38,"0.#")&amp;" "&amp;Z38&amp;")","")</x:f>
        <x:v>Net Wt. 0.35 oz (10. g)</x:v>
      </x:c>
      <x:c r="AE38" t="str">
        <x:v>1 capsule</x:v>
      </x:c>
      <x:c r="AF38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5"/>
      <x:c r="K39" s="35"/>
      <x:c r="L39" s="35"/>
      <x:c r="M39" s="35"/>
      <x:c r="N39" s="35"/>
      <x:c r="O39" s="35"/>
      <x:c r="P39" s="35"/>
      <x:c r="Q39" s="35"/>
      <x:c r="R39" s="35"/>
      <x:c r="S39" s="34"/>
      <x:c r="T39" s="34"/>
      <x:c r="U39" s="36"/>
      <x:c r="V39"/>
      <x:c r="W39" s="48" t="str">
        <x:f>IF(ISNUMBER(Y39),ROUNDDOWN(Y39/28.349523125,2),"")</x:f>
      </x:c>
      <x:c r="X39"/>
      <x:c r="Y39" s="49"/>
      <x:c r="Z39"/>
      <x:c r="AA39" s="48"/>
      <x:c r="AB39" s="18"/>
      <x:c r="AC39" s="18"/>
      <x:c r="AD39"/>
      <x:c r="AE39"/>
      <x:c r="AF39" s="18"/>
    </x:row>
    <x:row r="40">
      <x:c r="A40" s="40" t="str">
        <x:v>=== NON-THC / RATIO EDIBLES ===</x:v>
      </x:c>
      <x:c r="B40" s="40"/>
      <x:c r="C40" s="40"/>
      <x:c r="D40" s="40"/>
      <x:c r="E40" s="40"/>
      <x:c r="F40" s="40"/>
      <x:c r="G40" s="40"/>
      <x:c r="H40" s="40"/>
      <x:c r="I40" s="40"/>
      <x:c r="J40" s="41"/>
      <x:c r="K40" s="41"/>
      <x:c r="L40" s="41"/>
      <x:c r="M40" s="41"/>
      <x:c r="N40" s="41"/>
      <x:c r="O40" s="41"/>
      <x:c r="P40" s="41"/>
      <x:c r="Q40" s="41"/>
      <x:c r="R40" s="41"/>
      <x:c r="S40" s="40"/>
      <x:c r="T40" s="40"/>
      <x:c r="U40" s="42"/>
      <x:c r="V40"/>
      <x:c r="W40" s="48" t="str">
        <x:f>IF(ISNUMBER(Y40),ROUNDDOWN(Y40/28.349523125,2),"")</x:f>
      </x:c>
      <x:c r="X40"/>
      <x:c r="Y40" s="49"/>
      <x:c r="Z40"/>
      <x:c r="AA40" s="48"/>
      <x:c r="AB40" s="18"/>
      <x:c r="AC40" s="18"/>
      <x:c r="AD40"/>
      <x:c r="AE40"/>
      <x:c r="AF40" s="18"/>
    </x:row>
    <x:row r="41">
      <x:c r="A41" s="34" t="str">
        <x:v>Ceres</x:v>
      </x:c>
      <x:c r="B41" s="34" t="str">
        <x:v>Elderberry Gummies</x:v>
      </x:c>
      <x:c r="C41" s="34" t="str">
        <x:v>Gummies</x:v>
      </x:c>
      <x:c r="D41" s="34" t="str">
        <x:v>CBD Dominant</x:v>
      </x:c>
      <x:c r="E41" s="34"/>
      <x:c r="F41" s="34"/>
      <x:c r="G41" s="34" t="str">
        <x:v>Chill</x:v>
      </x:c>
      <x:c r="H41" s="34" t="str">
        <x:v>THC:CBN</x:v>
      </x:c>
      <x:c r="I41" s="34" t="str">
        <x:v>1:5</x:v>
      </x:c>
      <x:c r="J41" s="35" t="n">
        <x:v>2</x:v>
      </x:c>
      <x:c r="K41" s="35" t="n">
        <x:f>J41*R41</x:f>
        <x:v>20</x:v>
      </x:c>
      <x:c r="L41" s="35" t="n">
        <x:v>0</x:v>
      </x:c>
      <x:c r="M41" s="35" t="n">
        <x:f>L41*R41</x:f>
        <x:v>0</x:v>
      </x:c>
      <x:c r="N41" s="35" t="n">
        <x:v>10</x:v>
      </x:c>
      <x:c r="O41" s="35" t="n">
        <x:f>N41*R41</x:f>
        <x:v>100</x:v>
      </x:c>
      <x:c r="P41" s="35" t="n">
        <x:v>0</x:v>
      </x:c>
      <x:c r="Q41" s="35" t="n">
        <x:f>P41*R41</x:f>
        <x:v>0</x:v>
      </x:c>
      <x:c r="R41" s="35" t="n">
        <x:v>10</x:v>
      </x:c>
      <x:c r="S41" s="34" t="str">
        <x:v>Huckleberry</x:v>
      </x:c>
      <x:c r="T41" s="34" t="str">
        <x:v>Soft elderberry gummies made with quality ingredients and precisely infused cannabinoids for consistent flavor and reliable dosing.</x:v>
      </x:c>
      <x:c r="U41" s="36" t="n">
        <x:v>22</x:v>
      </x:c>
      <x:c r="V41" t="str">
        <x:v>Weight</x:v>
      </x:c>
      <x:c r="W41" s="48" t="n">
        <x:f>IF(ISNUMBER(Y41),ROUNDDOWN(Y41/28.349523125,2),"")</x:f>
        <x:v>2.18</x:v>
      </x:c>
      <x:c r="X41" t="str">
        <x:v>oz</x:v>
      </x:c>
      <x:c r="Y41" s="49" t="n">
        <x:v>62</x:v>
      </x:c>
      <x:c r="Z41" t="str">
        <x:v>g</x:v>
      </x:c>
      <x:c r="AA41" s="48" t="n">
        <x:f>IF(AND(ISNUMBER(Y41),ISNUMBER(R41),R41&gt;0),Y41/R41,"")</x:f>
        <x:v>6.2</x:v>
      </x:c>
      <x:c r="AB41" s="18" t="str">
        <x:v>Researched — Ceres 10-pack chews in WA traceability data</x:v>
      </x:c>
      <x:c r="AC41" s="18" t="str">
        <x:v>https://www.topshelfdata.com/wa/seattle/clutch-cannabis/leaf_product_purchases?business=Hannah+Industries&amp;from=2024-07-01</x:v>
      </x:c>
      <x:c r="AD41" t="str">
        <x:f>IF(V41="Weight","Net Wt. "&amp;TEXT(W41,"0.##")&amp;" "&amp;X41&amp;" ("&amp;TEXT(Y41,"0.#")&amp;" "&amp;Z41&amp;")","")</x:f>
        <x:v>Net Wt. 2.18 oz (62. g)</x:v>
      </x:c>
      <x:c r="AE41" t="str">
        <x:v>1 gummy</x:v>
      </x:c>
      <x:c r="AF41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2">
      <x:c r="A42" s="34" t="str">
        <x:v>Ceres</x:v>
      </x:c>
      <x:c r="B42" s="34" t="str">
        <x:v>Blackberry Gummies</x:v>
      </x:c>
      <x:c r="C42" s="34" t="str">
        <x:v>Gummies</x:v>
      </x:c>
      <x:c r="D42" s="34" t="str">
        <x:v>CBD Edibles</x:v>
      </x:c>
      <x:c r="E42" s="34"/>
      <x:c r="F42" s="34"/>
      <x:c r="G42" s="34" t="str">
        <x:v>Pain Relief</x:v>
      </x:c>
      <x:c r="H42" s="34" t="str">
        <x:v>CBD Only</x:v>
      </x:c>
      <x:c r="I42" s="34"/>
      <x:c r="J42" s="35" t="n">
        <x:v>0</x:v>
      </x:c>
      <x:c r="K42" s="35" t="n">
        <x:f>J42*R42</x:f>
        <x:v>0</x:v>
      </x:c>
      <x:c r="L42" s="35" t="n">
        <x:v>10</x:v>
      </x:c>
      <x:c r="M42" s="35" t="n">
        <x:f>L42*R42</x:f>
        <x:v>100</x:v>
      </x:c>
      <x:c r="N42" s="35" t="n">
        <x:v>0</x:v>
      </x:c>
      <x:c r="O42" s="35" t="n">
        <x:f>N42*R42</x:f>
        <x:v>0</x:v>
      </x:c>
      <x:c r="P42" s="35" t="n">
        <x:v>0</x:v>
      </x:c>
      <x:c r="Q42" s="35" t="n">
        <x:f>P42*R42</x:f>
        <x:v>0</x:v>
      </x:c>
      <x:c r="R42" s="35" t="n">
        <x:v>10</x:v>
      </x:c>
      <x:c r="S42" s="34" t="str">
        <x:v>Blackberry</x:v>
      </x:c>
      <x:c r="T42" s="34" t="str">
        <x:v>Soft blackberry gummies made with quality ingredients and precisely infused cannabinoids for consistent flavor and reliable dosing.</x:v>
      </x:c>
      <x:c r="U42" s="36" t="n">
        <x:v>20</x:v>
      </x:c>
      <x:c r="V42" t="str">
        <x:v>Weight</x:v>
      </x:c>
      <x:c r="W42" s="48" t="n">
        <x:f>IF(ISNUMBER(Y42),ROUNDDOWN(Y42/28.349523125,2),"")</x:f>
        <x:v>2.18</x:v>
      </x:c>
      <x:c r="X42" t="str">
        <x:v>oz</x:v>
      </x:c>
      <x:c r="Y42" s="49" t="n">
        <x:v>62</x:v>
      </x:c>
      <x:c r="Z42" t="str">
        <x:v>g</x:v>
      </x:c>
      <x:c r="AA42" s="48" t="n">
        <x:f>IF(AND(ISNUMBER(Y42),ISNUMBER(R42),R42&gt;0),Y42/R42,"")</x:f>
        <x:v>6.2</x:v>
      </x:c>
      <x:c r="AB42" s="18" t="str">
        <x:v>Researched — Ceres 10-pack chews in WA traceability data</x:v>
      </x:c>
      <x:c r="AC42" s="18" t="str">
        <x:v>https://www.topshelfdata.com/wa/seattle/clutch-cannabis/leaf_product_purchases?business=Hannah+Industries&amp;from=2024-07-01</x:v>
      </x:c>
      <x:c r="AD42" t="str">
        <x:f>IF(V42="Weight","Net Wt. "&amp;TEXT(W42,"0.##")&amp;" "&amp;X42&amp;" ("&amp;TEXT(Y42,"0.#")&amp;" "&amp;Z42&amp;")","")</x:f>
        <x:v>Net Wt. 2.18 oz (62. g)</x:v>
      </x:c>
      <x:c r="AE42" t="str">
        <x:v>1 gummy</x:v>
      </x:c>
      <x:c r="AF42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3">
      <x:c r="A43" s="34" t="str">
        <x:v>Constellation Cannabis</x:v>
      </x:c>
      <x:c r="B43" s="34" t="str">
        <x:v>Dark Chocolates</x:v>
      </x:c>
      <x:c r="C43" s="34" t="str">
        <x:v>Chocolate</x:v>
      </x:c>
      <x:c r="D43" s="34" t="str">
        <x:v>CBD Dominant</x:v>
      </x:c>
      <x:c r="E43" s="34"/>
      <x:c r="F43" s="34"/>
      <x:c r="G43" s="34" t="str">
        <x:v>Creative</x:v>
      </x:c>
      <x:c r="H43" s="34" t="str">
        <x:v>THC:CBG</x:v>
      </x:c>
      <x:c r="I43" s="34" t="str">
        <x:v>1:10</x:v>
      </x:c>
      <x:c r="J43" s="35" t="n">
        <x:v>1</x:v>
      </x:c>
      <x:c r="K43" s="35" t="n">
        <x:f>J43*R43</x:f>
        <x:v>10</x:v>
      </x:c>
      <x:c r="L43" s="35" t="n">
        <x:v>0</x:v>
      </x:c>
      <x:c r="M43" s="35" t="n">
        <x:f>L43*R43</x:f>
        <x:v>0</x:v>
      </x:c>
      <x:c r="N43" s="35" t="n">
        <x:v>0</x:v>
      </x:c>
      <x:c r="O43" s="35" t="n">
        <x:f>N43*R43</x:f>
        <x:v>0</x:v>
      </x:c>
      <x:c r="P43" s="35" t="n">
        <x:v>10</x:v>
      </x:c>
      <x:c r="Q43" s="35" t="n">
        <x:f>P43*R43</x:f>
        <x:v>100</x:v>
      </x:c>
      <x:c r="R43" s="35" t="n">
        <x:v>10</x:v>
      </x:c>
      <x:c r="S43" s="34" t="str">
        <x:v>Milk Chocolate</x:v>
      </x:c>
      <x:c r="T43" s="34" t="str">
        <x:v>Premium dark chocolates crafted with smooth cocoa and evenly infused cannabinoids for a rich, consistent experience.</x:v>
      </x:c>
      <x:c r="U43" s="36" t="n">
        <x:v>24</x:v>
      </x:c>
      <x:c r="V43" t="str">
        <x:v>Weight</x:v>
      </x:c>
      <x:c r="W43" s="48" t="n">
        <x:f>IF(ISNUMBER(Y43),ROUNDDOWN(Y43/28.349523125,2),"")</x:f>
        <x:v>3.52</x:v>
      </x:c>
      <x:c r="X43" t="str">
        <x:v>oz</x:v>
      </x:c>
      <x:c r="Y43" s="49" t="n">
        <x:v>100</x:v>
      </x:c>
      <x:c r="Z43" t="str">
        <x:v>g</x:v>
      </x:c>
      <x:c r="AA43" s="48" t="n">
        <x:f>IF(AND(ISNUMBER(Y43),ISNUMBER(R43),R43&gt;0),Y43/R43,"")</x:f>
        <x:v>10</x:v>
      </x:c>
      <x:c r="AB43" s="18" t="str">
        <x:v>Estimated — exact SKU not found; comparable WA 10-piece chocolate/confection package</x:v>
      </x:c>
      <x:c r="AC43" s="18" t="str">
        <x:v>https://www.topshelfdata.com/wa/tacoma/the-gallery-parkland/leaf_product_purchases?business=Stryps&amp;from=2024-04-01</x:v>
      </x:c>
      <x:c r="AD43" t="str">
        <x:f>IF(V43="Weight","Net Wt. "&amp;TEXT(W43,"0.##")&amp;" "&amp;X43&amp;" ("&amp;TEXT(Y43,"0.#")&amp;" "&amp;Z43&amp;")","")</x:f>
        <x:v>Net Wt. 3.52 oz (100. g)</x:v>
      </x:c>
      <x:c r="AE43" t="str">
        <x:v>1 chocolate piece</x:v>
      </x:c>
      <x:c r="AF43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4">
      <x:c r="A44" s="34" t="str">
        <x:v>Constellation Cannabis</x:v>
      </x:c>
      <x:c r="B44" s="34" t="str">
        <x:v>Milk Chocolates</x:v>
      </x:c>
      <x:c r="C44" s="34" t="str">
        <x:v>Chocolate</x:v>
      </x:c>
      <x:c r="D44" s="34" t="str">
        <x:v>CBD Edibles</x:v>
      </x:c>
      <x:c r="E44" s="34"/>
      <x:c r="F44" s="34"/>
      <x:c r="G44" s="34" t="str">
        <x:v>Relax</x:v>
      </x:c>
      <x:c r="H44" s="34" t="str">
        <x:v>CBD:CBN</x:v>
      </x:c>
      <x:c r="I44" s="34" t="str">
        <x:v>10:1</x:v>
      </x:c>
      <x:c r="J44" s="35" t="n">
        <x:v>0</x:v>
      </x:c>
      <x:c r="K44" s="35" t="n">
        <x:f>J44*R44</x:f>
        <x:v>0</x:v>
      </x:c>
      <x:c r="L44" s="35" t="n">
        <x:v>10</x:v>
      </x:c>
      <x:c r="M44" s="35" t="n">
        <x:f>L44*R44</x:f>
        <x:v>100</x:v>
      </x:c>
      <x:c r="N44" s="35" t="n">
        <x:v>1</x:v>
      </x:c>
      <x:c r="O44" s="35" t="n">
        <x:f>N44*R44</x:f>
        <x:v>10</x:v>
      </x:c>
      <x:c r="P44" s="35" t="n">
        <x:v>0</x:v>
      </x:c>
      <x:c r="Q44" s="35" t="n">
        <x:f>P44*R44</x:f>
        <x:v>0</x:v>
      </x:c>
      <x:c r="R44" s="35" t="n">
        <x:v>10</x:v>
      </x:c>
      <x:c r="S44" s="34" t="str">
        <x:v>Dark Chocolate</x:v>
      </x:c>
      <x:c r="T44" s="34" t="str">
        <x:v>Premium milk chocolates crafted with smooth cocoa and evenly infused cannabinoids for a rich, consistent experience.</x:v>
      </x:c>
      <x:c r="U44" s="36" t="n">
        <x:v>24</x:v>
      </x:c>
      <x:c r="V44" t="str">
        <x:v>Weight</x:v>
      </x:c>
      <x:c r="W44" s="48" t="n">
        <x:f>IF(ISNUMBER(Y44),ROUNDDOWN(Y44/28.349523125,2),"")</x:f>
        <x:v>3.52</x:v>
      </x:c>
      <x:c r="X44" t="str">
        <x:v>oz</x:v>
      </x:c>
      <x:c r="Y44" s="49" t="n">
        <x:v>100</x:v>
      </x:c>
      <x:c r="Z44" t="str">
        <x:v>g</x:v>
      </x:c>
      <x:c r="AA44" s="48" t="n">
        <x:f>IF(AND(ISNUMBER(Y44),ISNUMBER(R44),R44&gt;0),Y44/R44,"")</x:f>
        <x:v>10</x:v>
      </x:c>
      <x:c r="AB44" s="18" t="str">
        <x:v>Estimated — exact SKU not found; comparable WA 10-piece chocolate/confection package</x:v>
      </x:c>
      <x:c r="AC44" s="18" t="str">
        <x:v>https://www.topshelfdata.com/wa/tacoma/the-gallery-parkland/leaf_product_purchases?business=Stryps&amp;from=2024-04-01</x:v>
      </x:c>
      <x:c r="AD44" t="str">
        <x:f>IF(V44="Weight","Net Wt. "&amp;TEXT(W44,"0.##")&amp;" "&amp;X44&amp;" ("&amp;TEXT(Y44,"0.#")&amp;" "&amp;Z44&amp;")","")</x:f>
        <x:v>Net Wt. 3.52 oz (100. g)</x:v>
      </x:c>
      <x:c r="AE44" t="str">
        <x:v>1 chocolate piece</x:v>
      </x:c>
      <x:c r="AF4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5">
      <x:c r="A45" s="34" t="str">
        <x:v>Good Tide</x:v>
      </x:c>
      <x:c r="B45" s="34" t="str">
        <x:v>Pear Hard Candy</x:v>
      </x:c>
      <x:c r="C45" s="34" t="str">
        <x:v>Hard Candy</x:v>
      </x:c>
      <x:c r="D45" s="34" t="str">
        <x:v>Balanced</x:v>
      </x:c>
      <x:c r="E45" s="34"/>
      <x:c r="F45" s="34"/>
      <x:c r="G45" s="34" t="str">
        <x:v>Balanced</x:v>
      </x:c>
      <x:c r="H45" s="34" t="str">
        <x:v>THC:CBD</x:v>
      </x:c>
      <x:c r="I45" s="34" t="str">
        <x:v>1:1</x:v>
      </x:c>
      <x:c r="J45" s="35" t="n">
        <x:v>10</x:v>
      </x:c>
      <x:c r="K45" s="35" t="n">
        <x:f>J45*R45</x:f>
        <x:v>100</x:v>
      </x:c>
      <x:c r="L45" s="35" t="n">
        <x:v>10</x:v>
      </x:c>
      <x:c r="M45" s="35" t="n">
        <x:f>L45*R45</x:f>
        <x:v>100</x:v>
      </x:c>
      <x:c r="N45" s="35" t="n">
        <x:v>0</x:v>
      </x:c>
      <x:c r="O45" s="35" t="n">
        <x:f>N45*R45</x:f>
        <x:v>0</x:v>
      </x:c>
      <x:c r="P45" s="35" t="n">
        <x:v>0</x:v>
      </x:c>
      <x:c r="Q45" s="35" t="n">
        <x:f>P45*R45</x:f>
        <x:v>0</x:v>
      </x:c>
      <x:c r="R45" s="35" t="n">
        <x:v>10</x:v>
      </x:c>
      <x:c r="S45" s="34" t="str">
        <x:v>Pear</x:v>
      </x:c>
      <x:c r="T45" s="34" t="str">
        <x:v>Pear hard candy with a clean, slow-dissolving finish and carefully portioned cannabinoid infusion.</x:v>
      </x:c>
      <x:c r="U45" s="36" t="n">
        <x:v>24</x:v>
      </x:c>
      <x:c r="V45" t="str">
        <x:v>Weight</x:v>
      </x:c>
      <x:c r="W45" s="48" t="n">
        <x:f>IF(ISNUMBER(Y45),ROUNDDOWN(Y45/28.349523125,2),"")</x:f>
        <x:v>1.41</x:v>
      </x:c>
      <x:c r="X45" t="str">
        <x:v>oz</x:v>
      </x:c>
      <x:c r="Y45" s="49" t="n">
        <x:v>40</x:v>
      </x:c>
      <x:c r="Z45" t="str">
        <x:v>g</x:v>
      </x:c>
      <x:c r="AA45" s="48" t="n">
        <x:f>IF(AND(ISNUMBER(Y45),ISNUMBER(R45),R45&gt;0),Y45/R45,"")</x:f>
        <x:v>4</x:v>
      </x:c>
      <x:c r="AB45" s="18" t="str">
        <x:v>Estimated — exact hard-candy SKU not found; Good Tide 10-count edible packs commonly list 40g</x:v>
      </x:c>
      <x:c r="AC45" s="18" t="str">
        <x:v>https://weedmaps.com/brands/good-tide/products/good-tide-kiwi-strawberry-solventless-hass-rosin-gummies-refreshing</x:v>
      </x:c>
      <x:c r="AD45" t="str">
        <x:f>IF(V45="Weight","Net Wt. "&amp;TEXT(W45,"0.##")&amp;" "&amp;X45&amp;" ("&amp;TEXT(Y45,"0.#")&amp;" "&amp;Z45&amp;")","")</x:f>
        <x:v>Net Wt. 1.41 oz (40. g)</x:v>
      </x:c>
      <x:c r="AE45" t="str">
        <x:v>1 candy</x:v>
      </x:c>
      <x:c r="AF4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6">
      <x:c r="A46" s="34" t="str">
        <x:v>Good Tide</x:v>
      </x:c>
      <x:c r="B46" s="34" t="str">
        <x:v>Cherry Hard Candy</x:v>
      </x:c>
      <x:c r="C46" s="34" t="str">
        <x:v>Hard Candy</x:v>
      </x:c>
      <x:c r="D46" s="34" t="str">
        <x:v>CBD Edibles</x:v>
      </x:c>
      <x:c r="E46" s="34"/>
      <x:c r="F46" s="34"/>
      <x:c r="G46" s="34" t="str">
        <x:v>Relax</x:v>
      </x:c>
      <x:c r="H46" s="34" t="str">
        <x:v>CBD:CBN</x:v>
      </x:c>
      <x:c r="I46" s="34" t="str">
        <x:v>5:1</x:v>
      </x:c>
      <x:c r="J46" s="35" t="n">
        <x:v>0</x:v>
      </x:c>
      <x:c r="K46" s="35" t="n">
        <x:f>J46*R46</x:f>
        <x:v>0</x:v>
      </x:c>
      <x:c r="L46" s="35" t="n">
        <x:v>10</x:v>
      </x:c>
      <x:c r="M46" s="35" t="n">
        <x:f>L46*R46</x:f>
        <x:v>100</x:v>
      </x:c>
      <x:c r="N46" s="35" t="n">
        <x:v>2</x:v>
      </x:c>
      <x:c r="O46" s="35" t="n">
        <x:f>N46*R46</x:f>
        <x:v>20</x:v>
      </x:c>
      <x:c r="P46" s="35" t="n">
        <x:v>0</x:v>
      </x:c>
      <x:c r="Q46" s="35" t="n">
        <x:f>P46*R46</x:f>
        <x:v>0</x:v>
      </x:c>
      <x:c r="R46" s="35" t="n">
        <x:v>10</x:v>
      </x:c>
      <x:c r="S46" s="34" t="str">
        <x:v>Dark Chocolate</x:v>
      </x:c>
      <x:c r="T46" s="34" t="str">
        <x:v>Cherry hard candy with a clean, slow-dissolving finish and carefully portioned cannabinoid infusion.</x:v>
      </x:c>
      <x:c r="U46" s="36" t="n">
        <x:v>24</x:v>
      </x:c>
      <x:c r="V46" t="str">
        <x:v>Weight</x:v>
      </x:c>
      <x:c r="W46" s="48" t="n">
        <x:f>IF(ISNUMBER(Y46),ROUNDDOWN(Y46/28.349523125,2),"")</x:f>
        <x:v>1.41</x:v>
      </x:c>
      <x:c r="X46" t="str">
        <x:v>oz</x:v>
      </x:c>
      <x:c r="Y46" s="49" t="n">
        <x:v>40</x:v>
      </x:c>
      <x:c r="Z46" t="str">
        <x:v>g</x:v>
      </x:c>
      <x:c r="AA46" s="48" t="n">
        <x:f>IF(AND(ISNUMBER(Y46),ISNUMBER(R46),R46&gt;0),Y46/R46,"")</x:f>
        <x:v>4</x:v>
      </x:c>
      <x:c r="AB46" s="18" t="str">
        <x:v>Estimated — exact hard-candy SKU not found; Good Tide 10-count edible packs commonly list 40g</x:v>
      </x:c>
      <x:c r="AC46" s="18" t="str">
        <x:v>https://weedmaps.com/brands/good-tide/products/good-tide-kiwi-strawberry-solventless-hass-rosin-gummies-refreshing</x:v>
      </x:c>
      <x:c r="AD46" t="str">
        <x:f>IF(V46="Weight","Net Wt. "&amp;TEXT(W46,"0.##")&amp;" "&amp;X46&amp;" ("&amp;TEXT(Y46,"0.#")&amp;" "&amp;Z46&amp;")","")</x:f>
        <x:v>Net Wt. 1.41 oz (40. g)</x:v>
      </x:c>
      <x:c r="AE46" t="str">
        <x:v>1 candy</x:v>
      </x:c>
      <x:c r="AF46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7">
      <x:c r="A47" s="34" t="str">
        <x:v>Green Revolution</x:v>
      </x:c>
      <x:c r="B47" s="34" t="str">
        <x:v>Chocolate Chip Cookie Bites</x:v>
      </x:c>
      <x:c r="C47" s="34" t="str">
        <x:v>Baked Goods</x:v>
      </x:c>
      <x:c r="D47" s="34" t="str">
        <x:v>Balanced</x:v>
      </x:c>
      <x:c r="E47" s="34"/>
      <x:c r="F47" s="34"/>
      <x:c r="G47" s="34" t="str">
        <x:v>Deep Sleep</x:v>
      </x:c>
      <x:c r="H47" s="34" t="str">
        <x:v>THC:CBD:CBN</x:v>
      </x:c>
      <x:c r="I47" s="34" t="str">
        <x:v>1:1:1</x:v>
      </x:c>
      <x:c r="J47" s="35" t="n">
        <x:v>10</x:v>
      </x:c>
      <x:c r="K47" s="35" t="n">
        <x:f>J47*R47</x:f>
        <x:v>100</x:v>
      </x:c>
      <x:c r="L47" s="35" t="n">
        <x:v>10</x:v>
      </x:c>
      <x:c r="M47" s="35" t="n">
        <x:f>L47*R47</x:f>
        <x:v>100</x:v>
      </x:c>
      <x:c r="N47" s="35" t="n">
        <x:v>10</x:v>
      </x:c>
      <x:c r="O47" s="35" t="n">
        <x:f>N47*R47</x:f>
        <x:v>100</x:v>
      </x:c>
      <x:c r="P47" s="35" t="n">
        <x:v>0</x:v>
      </x:c>
      <x:c r="Q47" s="35" t="n">
        <x:f>P47*R47</x:f>
        <x:v>0</x:v>
      </x:c>
      <x:c r="R47" s="35" t="n">
        <x:v>10</x:v>
      </x:c>
      <x:c r="S47" s="34" t="str">
        <x:v>Chocolate Chip</x:v>
      </x:c>
      <x:c r="T47" s="34" t="str">
        <x:v>Soft chocolate chip cookie bites baked for satisfying texture and consistent cannabinoid dosing in every serving.</x:v>
      </x:c>
      <x:c r="U47" s="36" t="n">
        <x:v>24</x:v>
      </x:c>
      <x:c r="V47" t="str">
        <x:v>Weight</x:v>
      </x:c>
      <x:c r="W47" s="48" t="n">
        <x:f>IF(ISNUMBER(Y47),ROUNDDOWN(Y47/28.349523125,2),"")</x:f>
        <x:v>3.52</x:v>
      </x:c>
      <x:c r="X47" t="str">
        <x:v>oz</x:v>
      </x:c>
      <x:c r="Y47" s="49" t="n">
        <x:v>100</x:v>
      </x:c>
      <x:c r="Z47" t="str">
        <x:v>g</x:v>
      </x:c>
      <x:c r="AA47" s="48" t="n">
        <x:f>IF(AND(ISNUMBER(Y47),ISNUMBER(R47),R47&gt;0),Y47/R47,"")</x:f>
        <x:v>10</x:v>
      </x:c>
      <x:c r="AB47" s="18" t="str">
        <x:v>Estimated — exact baked SKU not found; GR 10-pack Doozies are 80g, adjusted upward for baked bites</x:v>
      </x:c>
      <x:c r="AC47" s="18" t="str">
        <x:v>https://www.topshelfdata.com/wa/bothell/herbal-nation/leaf_product_purchases?business=Harmony+Farms&amp;from=2024-02-01</x:v>
      </x:c>
      <x:c r="AD47" t="str">
        <x:f>IF(V47="Weight","Net Wt. "&amp;TEXT(W47,"0.##")&amp;" "&amp;X47&amp;" ("&amp;TEXT(Y47,"0.#")&amp;" "&amp;Z47&amp;")","")</x:f>
        <x:v>Net Wt. 3.52 oz (100. g)</x:v>
      </x:c>
      <x:c r="AE47" t="str">
        <x:v>1 bite</x:v>
      </x:c>
      <x:c r="AF47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8">
      <x:c r="A48" s="34" t="str">
        <x:v>Green Revolution</x:v>
      </x:c>
      <x:c r="B48" s="34" t="str">
        <x:v>Snickerdoodle Cookie Bites</x:v>
      </x:c>
      <x:c r="C48" s="34" t="str">
        <x:v>Baked Goods</x:v>
      </x:c>
      <x:c r="D48" s="34" t="str">
        <x:v>CBD Edibles</x:v>
      </x:c>
      <x:c r="E48" s="34"/>
      <x:c r="F48" s="34"/>
      <x:c r="G48" s="34" t="str">
        <x:v>Relax</x:v>
      </x:c>
      <x:c r="H48" s="34" t="str">
        <x:v>CBD:CBN</x:v>
      </x:c>
      <x:c r="I48" s="34" t="str">
        <x:v>1:5</x:v>
      </x:c>
      <x:c r="J48" s="35" t="n">
        <x:v>0</x:v>
      </x:c>
      <x:c r="K48" s="35" t="n">
        <x:f>J48*R48</x:f>
        <x:v>0</x:v>
      </x:c>
      <x:c r="L48" s="35" t="n">
        <x:v>2</x:v>
      </x:c>
      <x:c r="M48" s="35" t="n">
        <x:f>L48*R48</x:f>
        <x:v>20</x:v>
      </x:c>
      <x:c r="N48" s="35" t="n">
        <x:v>10</x:v>
      </x:c>
      <x:c r="O48" s="35" t="n">
        <x:f>N48*R48</x:f>
        <x:v>100</x:v>
      </x:c>
      <x:c r="P48" s="35" t="n">
        <x:v>0</x:v>
      </x:c>
      <x:c r="Q48" s="35" t="n">
        <x:f>P48*R48</x:f>
        <x:v>0</x:v>
      </x:c>
      <x:c r="R48" s="35" t="n">
        <x:v>10</x:v>
      </x:c>
      <x:c r="S48" s="34" t="str">
        <x:v>Snickerdoodle</x:v>
      </x:c>
      <x:c r="T48" s="34" t="str">
        <x:v>Soft snickerdoodle cookie bites baked for satisfying texture and consistent cannabinoid dosing in every serving.</x:v>
      </x:c>
      <x:c r="U48" s="36" t="n">
        <x:v>22</x:v>
      </x:c>
      <x:c r="V48" t="str">
        <x:v>Weight</x:v>
      </x:c>
      <x:c r="W48" s="48" t="n">
        <x:f>IF(ISNUMBER(Y48),ROUNDDOWN(Y48/28.349523125,2),"")</x:f>
        <x:v>3.52</x:v>
      </x:c>
      <x:c r="X48" t="str">
        <x:v>oz</x:v>
      </x:c>
      <x:c r="Y48" s="49" t="n">
        <x:v>100</x:v>
      </x:c>
      <x:c r="Z48" t="str">
        <x:v>g</x:v>
      </x:c>
      <x:c r="AA48" s="48" t="n">
        <x:f>IF(AND(ISNUMBER(Y48),ISNUMBER(R48),R48&gt;0),Y48/R48,"")</x:f>
        <x:v>10</x:v>
      </x:c>
      <x:c r="AB48" s="18" t="str">
        <x:v>Estimated — exact baked SKU not found; GR 10-pack Doozies are 80g, adjusted upward for baked bites</x:v>
      </x:c>
      <x:c r="AC48" s="18" t="str">
        <x:v>https://www.topshelfdata.com/wa/bothell/herbal-nation/leaf_product_purchases?business=Harmony+Farms&amp;from=2024-02-01</x:v>
      </x:c>
      <x:c r="AD48" t="str">
        <x:f>IF(V48="Weight","Net Wt. "&amp;TEXT(W48,"0.##")&amp;" "&amp;X48&amp;" ("&amp;TEXT(Y48,"0.#")&amp;" "&amp;Z48&amp;")","")</x:f>
        <x:v>Net Wt. 3.52 oz (100. g)</x:v>
      </x:c>
      <x:c r="AE48" t="str">
        <x:v>1 bite</x:v>
      </x:c>
      <x:c r="AF48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49">
      <x:c r="A49" s="34" t="str">
        <x:v>Journeyman</x:v>
      </x:c>
      <x:c r="B49" s="34" t="str">
        <x:v>Balance Capsules</x:v>
      </x:c>
      <x:c r="C49" s="34" t="str">
        <x:v>Capsules</x:v>
      </x:c>
      <x:c r="D49" s="34" t="str">
        <x:v>Balanced</x:v>
      </x:c>
      <x:c r="E49" s="34"/>
      <x:c r="F49" s="34"/>
      <x:c r="G49" s="34" t="str">
        <x:v>Happy</x:v>
      </x:c>
      <x:c r="H49" s="34" t="str">
        <x:v>THC:CBD:CBG</x:v>
      </x:c>
      <x:c r="I49" s="34" t="str">
        <x:v>1:1:1</x:v>
      </x:c>
      <x:c r="J49" s="35" t="n">
        <x:v>10</x:v>
      </x:c>
      <x:c r="K49" s="35" t="n">
        <x:f>J49*R49</x:f>
        <x:v>100</x:v>
      </x:c>
      <x:c r="L49" s="35" t="n">
        <x:v>10</x:v>
      </x:c>
      <x:c r="M49" s="35" t="n">
        <x:f>L49*R49</x:f>
        <x:v>100</x:v>
      </x:c>
      <x:c r="N49" s="35" t="n">
        <x:v>0</x:v>
      </x:c>
      <x:c r="O49" s="35" t="n">
        <x:f>N49*R49</x:f>
        <x:v>0</x:v>
      </x:c>
      <x:c r="P49" s="35" t="n">
        <x:v>10</x:v>
      </x:c>
      <x:c r="Q49" s="35" t="n">
        <x:f>P49*R49</x:f>
        <x:v>100</x:v>
      </x:c>
      <x:c r="R49" s="35" t="n">
        <x:v>10</x:v>
      </x:c>
      <x:c r="S49" s="34" t="str">
        <x:v>Unflavored</x:v>
      </x:c>
      <x:c r="T49" s="34" t="str">
        <x:v>Balance Capsules provide discreet, precisely measured cannabinoid dosing in an easy-to-take capsule with no added flavors or sugars.</x:v>
      </x:c>
      <x:c r="U49" s="36" t="n">
        <x:v>30</x:v>
      </x:c>
      <x:c r="V49" t="str">
        <x:v>Weight</x:v>
      </x:c>
      <x:c r="W49" s="48" t="n">
        <x:f>IF(ISNUMBER(Y49),ROUNDDOWN(Y49/28.349523125,2),"")</x:f>
        <x:v>0.35</x:v>
      </x:c>
      <x:c r="X49" t="str">
        <x:v>oz</x:v>
      </x:c>
      <x:c r="Y49" s="49" t="n">
        <x:v>10</x:v>
      </x:c>
      <x:c r="Z49" t="str">
        <x:v>g</x:v>
      </x:c>
      <x:c r="AA49" s="48" t="n">
        <x:f>IF(AND(ISNUMBER(Y49),ISNUMBER(R49),R49&gt;0),Y49/R49,"")</x:f>
        <x:v>1</x:v>
      </x:c>
      <x:c r="AB49" s="18" t="str">
        <x:v>Estimated — exact capsule SKU not found; 10-count capsule format</x:v>
      </x:c>
      <x:c r="AC49" s="18" t="str">
        <x:v>https://www.topshelfdata.com/wa/shelton/sashas-cannabis/leaf_product_purchases?business=Fairwinds+Manufacturing&amp;from=2024-05-01</x:v>
      </x:c>
      <x:c r="AD49" t="str">
        <x:f>IF(V49="Weight","Net Wt. "&amp;TEXT(W49,"0.##")&amp;" "&amp;X49&amp;" ("&amp;TEXT(Y49,"0.#")&amp;" "&amp;Z49&amp;")","")</x:f>
        <x:v>Net Wt. 0.35 oz (10. g)</x:v>
      </x:c>
      <x:c r="AE49" t="str">
        <x:v>1 capsule</x:v>
      </x:c>
      <x:c r="AF49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0">
      <x:c r="A50" s="34" t="str">
        <x:v>Journeyman</x:v>
      </x:c>
      <x:c r="B50" s="34" t="str">
        <x:v>Wellness Capsules</x:v>
      </x:c>
      <x:c r="C50" s="34" t="str">
        <x:v>Capsules</x:v>
      </x:c>
      <x:c r="D50" s="34" t="str">
        <x:v>CBD Edibles</x:v>
      </x:c>
      <x:c r="E50" s="34"/>
      <x:c r="F50" s="34"/>
      <x:c r="G50" s="34" t="str">
        <x:v>Focus</x:v>
      </x:c>
      <x:c r="H50" s="34" t="str">
        <x:v>CBD:CBG</x:v>
      </x:c>
      <x:c r="I50" s="34" t="str">
        <x:v>10:1</x:v>
      </x:c>
      <x:c r="J50" s="35" t="n">
        <x:v>0</x:v>
      </x:c>
      <x:c r="K50" s="35" t="n">
        <x:f>J50*R50</x:f>
        <x:v>0</x:v>
      </x:c>
      <x:c r="L50" s="35" t="n">
        <x:v>10</x:v>
      </x:c>
      <x:c r="M50" s="35" t="n">
        <x:f>L50*R50</x:f>
        <x:v>100</x:v>
      </x:c>
      <x:c r="N50" s="35" t="n">
        <x:v>0</x:v>
      </x:c>
      <x:c r="O50" s="35" t="n">
        <x:f>N50*R50</x:f>
        <x:v>0</x:v>
      </x:c>
      <x:c r="P50" s="35" t="n">
        <x:v>1</x:v>
      </x:c>
      <x:c r="Q50" s="35" t="n">
        <x:f>P50*R50</x:f>
        <x:v>10</x:v>
      </x:c>
      <x:c r="R50" s="35" t="n">
        <x:v>10</x:v>
      </x:c>
      <x:c r="S50" s="34" t="str">
        <x:v>Unflavored</x:v>
      </x:c>
      <x:c r="T50" s="34" t="str">
        <x:v>Wellness Capsules provide discreet, precisely measured cannabinoid dosing in an easy-to-take capsule with no added flavors or sugars.</x:v>
      </x:c>
      <x:c r="U50" s="36" t="n">
        <x:v>28</x:v>
      </x:c>
      <x:c r="V50" t="str">
        <x:v>Weight</x:v>
      </x:c>
      <x:c r="W50" s="48" t="n">
        <x:f>IF(ISNUMBER(Y50),ROUNDDOWN(Y50/28.349523125,2),"")</x:f>
        <x:v>0.35</x:v>
      </x:c>
      <x:c r="X50" t="str">
        <x:v>oz</x:v>
      </x:c>
      <x:c r="Y50" s="49" t="n">
        <x:v>10</x:v>
      </x:c>
      <x:c r="Z50" t="str">
        <x:v>g</x:v>
      </x:c>
      <x:c r="AA50" s="48" t="n">
        <x:f>IF(AND(ISNUMBER(Y50),ISNUMBER(R50),R50&gt;0),Y50/R50,"")</x:f>
        <x:v>1</x:v>
      </x:c>
      <x:c r="AB50" s="18" t="str">
        <x:v>Estimated — exact capsule SKU not found; 10-count capsule format</x:v>
      </x:c>
      <x:c r="AC50" s="18" t="str">
        <x:v>https://www.topshelfdata.com/wa/shelton/sashas-cannabis/leaf_product_purchases?business=Fairwinds+Manufacturing&amp;from=2024-05-01</x:v>
      </x:c>
      <x:c r="AD50" t="str">
        <x:f>IF(V50="Weight","Net Wt. "&amp;TEXT(W50,"0.##")&amp;" "&amp;X50&amp;" ("&amp;TEXT(Y50,"0.#")&amp;" "&amp;Z50&amp;")","")</x:f>
        <x:v>Net Wt. 0.35 oz (10. g)</x:v>
      </x:c>
      <x:c r="AE50" t="str">
        <x:v>1 capsule</x:v>
      </x:c>
      <x:c r="AF50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1">
      <x:c r="A51" s="34" t="str">
        <x:v>Marmas</x:v>
      </x:c>
      <x:c r="B51" s="34" t="str">
        <x:v>Pineapple Gummies</x:v>
      </x:c>
      <x:c r="C51" s="34" t="str">
        <x:v>Gummies</x:v>
      </x:c>
      <x:c r="D51" s="34" t="str">
        <x:v>CBD Edibles</x:v>
      </x:c>
      <x:c r="E51" s="34"/>
      <x:c r="F51" s="34"/>
      <x:c r="G51" s="34" t="str">
        <x:v>Focus</x:v>
      </x:c>
      <x:c r="H51" s="34" t="str">
        <x:v>CBD:CBG</x:v>
      </x:c>
      <x:c r="I51" s="34" t="str">
        <x:v>1:10</x:v>
      </x:c>
      <x:c r="J51" s="35" t="n">
        <x:v>0</x:v>
      </x:c>
      <x:c r="K51" s="35" t="n">
        <x:f>J51*R51</x:f>
        <x:v>0</x:v>
      </x:c>
      <x:c r="L51" s="35" t="n">
        <x:v>1</x:v>
      </x:c>
      <x:c r="M51" s="35" t="n">
        <x:f>L51*R51</x:f>
        <x:v>10</x:v>
      </x:c>
      <x:c r="N51" s="35" t="n">
        <x:v>0</x:v>
      </x:c>
      <x:c r="O51" s="35" t="n">
        <x:f>N51*R51</x:f>
        <x:v>0</x:v>
      </x:c>
      <x:c r="P51" s="35" t="n">
        <x:v>10</x:v>
      </x:c>
      <x:c r="Q51" s="35" t="n">
        <x:f>P51*R51</x:f>
        <x:v>100</x:v>
      </x:c>
      <x:c r="R51" s="35" t="n">
        <x:v>10</x:v>
      </x:c>
      <x:c r="S51" s="34" t="str">
        <x:v>Pineapple</x:v>
      </x:c>
      <x:c r="T51" s="34" t="str">
        <x:v>Soft pineapple gummies made with quality ingredients and precisely infused cannabinoids for consistent flavor and reliable dosing.</x:v>
      </x:c>
      <x:c r="U51" s="36" t="n">
        <x:v>22</x:v>
      </x:c>
      <x:c r="V51" t="str">
        <x:v>Weight</x:v>
      </x:c>
      <x:c r="W51" s="48" t="n">
        <x:f>IF(ISNUMBER(Y51),ROUNDDOWN(Y51/28.349523125,2),"")</x:f>
        <x:v>1.76</x:v>
      </x:c>
      <x:c r="X51" t="str">
        <x:v>oz</x:v>
      </x:c>
      <x:c r="Y51" s="49" t="n">
        <x:v>50</x:v>
      </x:c>
      <x:c r="Z51" t="str">
        <x:v>g</x:v>
      </x:c>
      <x:c r="AA51" s="48" t="n">
        <x:f>IF(AND(ISNUMBER(Y51),ISNUMBER(R51),R51&gt;0),Y51/R51,"")</x:f>
        <x:v>5</x:v>
      </x:c>
      <x:c r="AB51" s="18" t="str">
        <x:v>Researched — Marmas 10-pack examples in WA traceability data</x:v>
      </x:c>
      <x:c r="AC51" s="18" t="str">
        <x:v>https://www.topshelfdata.com/wa/tacoma/diamond-green/leaf_product_purchases?business=Mt+Baker+Homegrown&amp;from=2024-07-01</x:v>
      </x:c>
      <x:c r="AD51" t="str">
        <x:f>IF(V51="Weight","Net Wt. "&amp;TEXT(W51,"0.##")&amp;" "&amp;X51&amp;" ("&amp;TEXT(Y51,"0.#")&amp;" "&amp;Z51&amp;")","")</x:f>
        <x:v>Net Wt. 1.76 oz (50. g)</x:v>
      </x:c>
      <x:c r="AE51" t="str">
        <x:v>1 gummy</x:v>
      </x:c>
      <x:c r="AF51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2">
      <x:c r="A52" s="34" t="str">
        <x:v>Pioneer Squares</x:v>
      </x:c>
      <x:c r="B52" s="34" t="str">
        <x:v>Sea Salt Caramel Chocolates</x:v>
      </x:c>
      <x:c r="C52" s="34" t="str">
        <x:v>Chocolate</x:v>
      </x:c>
      <x:c r="D52" s="34" t="str">
        <x:v>THC Dominant</x:v>
      </x:c>
      <x:c r="E52" s="34"/>
      <x:c r="F52" s="34"/>
      <x:c r="G52" s="34" t="str">
        <x:v>Unwind</x:v>
      </x:c>
      <x:c r="H52" s="34" t="str">
        <x:v>THC:CBD</x:v>
      </x:c>
      <x:c r="I52" s="34" t="str">
        <x:v>2:1</x:v>
      </x:c>
      <x:c r="J52" s="35" t="n">
        <x:v>10</x:v>
      </x:c>
      <x:c r="K52" s="35" t="n">
        <x:f>J52*R52</x:f>
        <x:v>100</x:v>
      </x:c>
      <x:c r="L52" s="35" t="n">
        <x:v>5</x:v>
      </x:c>
      <x:c r="M52" s="35" t="n">
        <x:f>L52*R52</x:f>
        <x:v>50</x:v>
      </x:c>
      <x:c r="N52" s="35" t="n">
        <x:v>0</x:v>
      </x:c>
      <x:c r="O52" s="35" t="n">
        <x:f>N52*R52</x:f>
        <x:v>0</x:v>
      </x:c>
      <x:c r="P52" s="35" t="n">
        <x:v>0</x:v>
      </x:c>
      <x:c r="Q52" s="35" t="n">
        <x:f>P52*R52</x:f>
        <x:v>0</x:v>
      </x:c>
      <x:c r="R52" s="35" t="n">
        <x:v>10</x:v>
      </x:c>
      <x:c r="S52" s="34" t="str">
        <x:v>Milk Chocolate</x:v>
      </x:c>
      <x:c r="T52" s="34" t="str">
        <x:v>Premium sea salt caramel chocolates crafted with smooth cocoa and evenly infused cannabinoids for a rich, consistent experience.</x:v>
      </x:c>
      <x:c r="U52" s="36" t="n">
        <x:v>22</x:v>
      </x:c>
      <x:c r="V52" t="str">
        <x:v>Weight</x:v>
      </x:c>
      <x:c r="W52" s="48" t="n">
        <x:f>IF(ISNUMBER(Y52),ROUNDDOWN(Y52/28.349523125,2),"")</x:f>
        <x:v>3.49</x:v>
      </x:c>
      <x:c r="X52" t="str">
        <x:v>oz</x:v>
      </x:c>
      <x:c r="Y52" s="49" t="n">
        <x:v>99.2</x:v>
      </x:c>
      <x:c r="Z52" t="str">
        <x:v>g</x:v>
      </x:c>
      <x:c r="AA52" s="48" t="n">
        <x:f>IF(AND(ISNUMBER(Y52),ISNUMBER(R52),R52&gt;0),Y52/R52,"")</x:f>
        <x:v>9.92</x:v>
      </x:c>
      <x:c r="AB52" s="18" t="str">
        <x:v>Researched — Pioneer Squares 10-pack WA traceability example</x:v>
      </x:c>
      <x:c r="AC52" s="18" t="str">
        <x:v>https://www.topshelfdata.com/wa/tacoma/the-gallery-parkland/leaf_product_purchases?business=Stryps&amp;from=2024-04-01</x:v>
      </x:c>
      <x:c r="AD52" t="str">
        <x:f>IF(V52="Weight","Net Wt. "&amp;TEXT(W52,"0.##")&amp;" "&amp;X52&amp;" ("&amp;TEXT(Y52,"0.#")&amp;" "&amp;Z52&amp;")","")</x:f>
        <x:v>Net Wt. 3.49 oz (99.2 g)</x:v>
      </x:c>
      <x:c r="AE52" t="str">
        <x:v>1 chocolate piece</x:v>
      </x:c>
      <x:c r="AF52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3">
      <x:c r="A53" s="34" t="str">
        <x:v>Swifts</x:v>
      </x:c>
      <x:c r="B53" s="34" t="str">
        <x:v>Blue Raspberry Hard Candy</x:v>
      </x:c>
      <x:c r="C53" s="34" t="str">
        <x:v>Hard Candy</x:v>
      </x:c>
      <x:c r="D53" s="34" t="str">
        <x:v>THC Dominant</x:v>
      </x:c>
      <x:c r="E53" s="34"/>
      <x:c r="F53" s="34"/>
      <x:c r="G53" s="34" t="str">
        <x:v>Sleep</x:v>
      </x:c>
      <x:c r="H53" s="34" t="str">
        <x:v>THC:CBN</x:v>
      </x:c>
      <x:c r="I53" s="34" t="str">
        <x:v>5:1</x:v>
      </x:c>
      <x:c r="J53" s="35" t="n">
        <x:v>10</x:v>
      </x:c>
      <x:c r="K53" s="35" t="n">
        <x:f>J53*R53</x:f>
        <x:v>100</x:v>
      </x:c>
      <x:c r="L53" s="35" t="n">
        <x:v>0</x:v>
      </x:c>
      <x:c r="M53" s="35" t="n">
        <x:f>L53*R53</x:f>
        <x:v>0</x:v>
      </x:c>
      <x:c r="N53" s="35" t="n">
        <x:v>2</x:v>
      </x:c>
      <x:c r="O53" s="35" t="n">
        <x:f>N53*R53</x:f>
        <x:v>20</x:v>
      </x:c>
      <x:c r="P53" s="35" t="n">
        <x:v>0</x:v>
      </x:c>
      <x:c r="Q53" s="35" t="n">
        <x:f>P53*R53</x:f>
        <x:v>0</x:v>
      </x:c>
      <x:c r="R53" s="35" t="n">
        <x:v>10</x:v>
      </x:c>
      <x:c r="S53" s="34" t="str">
        <x:v>Watermelon</x:v>
      </x:c>
      <x:c r="T53" s="34" t="str">
        <x:v>Blue raspberry hard candy with a clean, slow-dissolving finish and carefully portioned cannabinoid infusion.</x:v>
      </x:c>
      <x:c r="U53" s="36" t="n">
        <x:v>22</x:v>
      </x:c>
      <x:c r="V53" t="str">
        <x:v>Weight</x:v>
      </x:c>
      <x:c r="W53" s="48" t="n">
        <x:f>IF(ISNUMBER(Y53),ROUNDDOWN(Y53/28.349523125,2),"")</x:f>
        <x:v>1.41</x:v>
      </x:c>
      <x:c r="X53" t="str">
        <x:v>oz</x:v>
      </x:c>
      <x:c r="Y53" s="49" t="n">
        <x:v>40</x:v>
      </x:c>
      <x:c r="Z53" t="str">
        <x:v>g</x:v>
      </x:c>
      <x:c r="AA53" s="48" t="n">
        <x:f>IF(AND(ISNUMBER(Y53),ISNUMBER(R53),R53&gt;0),Y53/R53,"")</x:f>
        <x:v>4</x:v>
      </x:c>
      <x:c r="AB53" s="18" t="str">
        <x:v>Estimated — exact net weight not found; Swifts sells 10/20-pack hard-candy formats</x:v>
      </x:c>
      <x:c r="AC53" s="18" t="str">
        <x:v>https://www.washingtonweedstores.com/brands/Swifts</x:v>
      </x:c>
      <x:c r="AD53" t="str">
        <x:f>IF(V53="Weight","Net Wt. "&amp;TEXT(W53,"0.##")&amp;" "&amp;X53&amp;" ("&amp;TEXT(Y53,"0.#")&amp;" "&amp;Z53&amp;")","")</x:f>
        <x:v>Net Wt. 1.41 oz (40. g)</x:v>
      </x:c>
      <x:c r="AE53" t="str">
        <x:v>1 candy</x:v>
      </x:c>
      <x:c r="AF53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4">
      <x:c r="A54" s="34" t="str">
        <x:v>Verdelux</x:v>
      </x:c>
      <x:c r="B54" s="34" t="str">
        <x:v>Fudge Brownie Bites</x:v>
      </x:c>
      <x:c r="C54" s="34" t="str">
        <x:v>Baked Goods</x:v>
      </x:c>
      <x:c r="D54" s="34" t="str">
        <x:v>THC Dominant</x:v>
      </x:c>
      <x:c r="E54" s="34"/>
      <x:c r="F54" s="34"/>
      <x:c r="G54" s="34" t="str">
        <x:v>Giggly</x:v>
      </x:c>
      <x:c r="H54" s="34" t="str">
        <x:v>THC:CBG</x:v>
      </x:c>
      <x:c r="I54" s="34" t="str">
        <x:v>10:1</x:v>
      </x:c>
      <x:c r="J54" s="35" t="n">
        <x:v>10</x:v>
      </x:c>
      <x:c r="K54" s="35" t="n">
        <x:f>J54*R54</x:f>
        <x:v>100</x:v>
      </x:c>
      <x:c r="L54" s="35" t="n">
        <x:v>0</x:v>
      </x:c>
      <x:c r="M54" s="35" t="n">
        <x:f>L54*R54</x:f>
        <x:v>0</x:v>
      </x:c>
      <x:c r="N54" s="35" t="n">
        <x:v>0</x:v>
      </x:c>
      <x:c r="O54" s="35" t="n">
        <x:f>N54*R54</x:f>
        <x:v>0</x:v>
      </x:c>
      <x:c r="P54" s="35" t="n">
        <x:v>1</x:v>
      </x:c>
      <x:c r="Q54" s="35" t="n">
        <x:f>P54*R54</x:f>
        <x:v>10</x:v>
      </x:c>
      <x:c r="R54" s="35" t="n">
        <x:v>10</x:v>
      </x:c>
      <x:c r="S54" s="34" t="str">
        <x:v>Double Chocolate</x:v>
      </x:c>
      <x:c r="T54" s="34" t="str">
        <x:v>Fudge Brownie Bites provide discreet, precisely measured cannabinoid dosing in an easy-to-take capsule with no added flavors or sugars.</x:v>
      </x:c>
      <x:c r="U54" s="36" t="n">
        <x:v>22</x:v>
      </x:c>
      <x:c r="V54" t="str">
        <x:v>Weight</x:v>
      </x:c>
      <x:c r="W54" s="48" t="n">
        <x:f>IF(ISNUMBER(Y54),ROUNDDOWN(Y54/28.349523125,2),"")</x:f>
        <x:v>3.52</x:v>
      </x:c>
      <x:c r="X54" t="str">
        <x:v>oz</x:v>
      </x:c>
      <x:c r="Y54" s="49" t="n">
        <x:v>100</x:v>
      </x:c>
      <x:c r="Z54" t="str">
        <x:v>g</x:v>
      </x:c>
      <x:c r="AA54" s="48" t="n">
        <x:f>IF(AND(ISNUMBER(Y54),ISNUMBER(R54),R54&gt;0),Y54/R54,"")</x:f>
        <x:v>10</x:v>
      </x:c>
      <x:c r="AB54" s="18" t="str">
        <x:v>Estimated — exact cookie-bite SKU not found; based on Verdelux WA confection weights</x:v>
      </x:c>
      <x:c r="AC54" s="18" t="str">
        <x:v>https://www.topshelfdata.com/wa/clarkston/greenfield-company-cannabis-mercantile/leaf_product_purchases?business=&amp;from=2023-03-01</x:v>
      </x:c>
      <x:c r="AD54" t="str">
        <x:f>IF(V54="Weight","Net Wt. "&amp;TEXT(W54,"0.##")&amp;" "&amp;X54&amp;" ("&amp;TEXT(Y54,"0.#")&amp;" "&amp;Z54&amp;")","")</x:f>
        <x:v>Net Wt. 3.52 oz (100. g)</x:v>
      </x:c>
      <x:c r="AE54" t="str">
        <x:v>1 bite</x:v>
      </x:c>
      <x:c r="AF54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  <x:row r="55">
      <x:c r="A55" s="34" t="str">
        <x:v>Wyld</x:v>
      </x:c>
      <x:c r="B55" s="34" t="str">
        <x:v>Calm Capsules</x:v>
      </x:c>
      <x:c r="C55" s="34" t="str">
        <x:v>Capsules</x:v>
      </x:c>
      <x:c r="D55" s="34" t="str">
        <x:v>CBD Dominant</x:v>
      </x:c>
      <x:c r="E55" s="34"/>
      <x:c r="F55" s="34"/>
      <x:c r="G55" s="34" t="str">
        <x:v>Calm</x:v>
      </x:c>
      <x:c r="H55" s="34" t="str">
        <x:v>THC:CBD</x:v>
      </x:c>
      <x:c r="I55" s="34" t="str">
        <x:v>1:2</x:v>
      </x:c>
      <x:c r="J55" s="35" t="n">
        <x:v>5</x:v>
      </x:c>
      <x:c r="K55" s="35" t="n">
        <x:f>J55*R55</x:f>
        <x:v>50</x:v>
      </x:c>
      <x:c r="L55" s="35" t="n">
        <x:v>10</x:v>
      </x:c>
      <x:c r="M55" s="35" t="n">
        <x:f>L55*R55</x:f>
        <x:v>100</x:v>
      </x:c>
      <x:c r="N55" s="35" t="n">
        <x:v>0</x:v>
      </x:c>
      <x:c r="O55" s="35" t="n">
        <x:f>N55*R55</x:f>
        <x:v>0</x:v>
      </x:c>
      <x:c r="P55" s="35" t="n">
        <x:v>0</x:v>
      </x:c>
      <x:c r="Q55" s="35" t="n">
        <x:f>P55*R55</x:f>
        <x:v>0</x:v>
      </x:c>
      <x:c r="R55" s="35" t="n">
        <x:v>10</x:v>
      </x:c>
      <x:c r="S55" s="34" t="str">
        <x:v>Unflavored</x:v>
      </x:c>
      <x:c r="T55" s="34" t="str">
        <x:v>Calm Capsules provide discreet, precisely measured cannabinoid dosing in an easy-to-take capsule with no added flavors or sugars.</x:v>
      </x:c>
      <x:c r="U55" s="36" t="n">
        <x:v>28</x:v>
      </x:c>
      <x:c r="V55" t="str">
        <x:v>Weight</x:v>
      </x:c>
      <x:c r="W55" s="48" t="n">
        <x:f>IF(ISNUMBER(Y55),ROUNDDOWN(Y55/28.349523125,2),"")</x:f>
        <x:v>0.35</x:v>
      </x:c>
      <x:c r="X55" t="str">
        <x:v>oz</x:v>
      </x:c>
      <x:c r="Y55" s="49" t="n">
        <x:v>10</x:v>
      </x:c>
      <x:c r="Z55" t="str">
        <x:v>g</x:v>
      </x:c>
      <x:c r="AA55" s="48" t="n">
        <x:f>IF(AND(ISNUMBER(Y55),ISNUMBER(R55),R55&gt;0),Y55/R55,"")</x:f>
        <x:v>1</x:v>
      </x:c>
      <x:c r="AB55" s="18" t="str">
        <x:v>Estimated — exact capsule SKU not found; 10-count capsule format</x:v>
      </x:c>
      <x:c r="AC55" s="18" t="str">
        <x:v>https://www.topshelfdata.com/wa/shelton/sashas-cannabis/leaf_product_purchases?business=Fairwinds+Manufacturing&amp;from=2024-05-01</x:v>
      </x:c>
      <x:c r="AD55" t="str">
        <x:f>IF(V55="Weight","Net Wt. "&amp;TEXT(W55,"0.##")&amp;" "&amp;X55&amp;" ("&amp;TEXT(Y55,"0.#")&amp;" "&amp;Z55&amp;")","")</x:f>
        <x:v>Net Wt. 0.35 oz (10. g)</x:v>
      </x:c>
      <x:c r="AE55" t="str">
        <x:v>1 capsule</x:v>
      </x:c>
      <x:c r="AF55" s="18" t="str">
        <x:v>WA schema check: physical net quantity is separate from cannabinoid mg; solid edibles require serving size, product amount per serving, servings/package, and net weight in oz + g (or volume as applicable). Estimated net quantities are catalog seed values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90" hidden="0" customWidth="1"/>
  </x:cols>
  <x:sheetData>
    <x:row r="1">
      <x:c r="A1" s="8" t="inlineStr">
        <x:is>
          <x:t xml:space="preserve">Field</x:t>
        </x:is>
      </x:c>
      <x:c r="B1" s="8" t="inlineStr">
        <x:is>
          <x:t xml:space="preserve">Notes</x:t>
        </x:is>
      </x:c>
    </x:row>
    <x:row r="2">
      <x:c r="A2" s="10" t="inlineStr">
        <x:is>
          <x:t xml:space="preserve">Pricing basis</x:t>
        </x:is>
      </x:c>
      <x:c r="B2" s="10" t="inlineStr">
        <x:is>
          <x:t xml:space="preserve">Representative Washington recreational retail pricing, not a fixed manufacturer MSRP. Individual dispensaries and promotions may vary.</x:t>
        </x:is>
      </x:c>
    </x:row>
    <x:row r="3">
      <x:c r="A3" s="10" t="inlineStr">
        <x:is>
          <x:t xml:space="preserve">Product naming</x:t>
        </x:is>
      </x:c>
      <x:c r="B3" s="10" t="inlineStr">
        <x:is>
          <x:t xml:space="preserve">Names were corrected to fit the existing edible type and cannabinoid data. Where a brand does not appear to offer that exact form factor, a realistic in-brand-style seed name was used rather than changing the IA.</x:t>
        </x:is>
      </x:c>
    </x:row>
    <x:row r="4">
      <x:c r="A4" s="10" t="inlineStr">
        <x:is>
          <x:t xml:space="preserve">Capsules</x:t>
        </x:is>
      </x:c>
      <x:c r="B4" s="10" t="inlineStr">
        <x:is>
          <x:t xml:space="preserve">All Capsules are treated as unflavored; the former flavor values were removed because they created unrealistic combinations.</x:t>
        </x:is>
      </x:c>
    </x:row>
    <x:row r="5">
      <x:c r="A5" s="10" t="inlineStr">
        <x:is>
          <x:t xml:space="preserve">Source 1</x:t>
        </x:is>
      </x:c>
      <x:c r="B5" s="10" t="inlineStr">
        <x:is>
          <x:t xml:space="preserve">https://www.washingtonweedstores.com/brands/Good-Tide</x:t>
        </x:is>
      </x:c>
    </x:row>
    <x:row r="6">
      <x:c r="A6" s="10" t="inlineStr">
        <x:is>
          <x:t xml:space="preserve">Source 2</x:t>
        </x:is>
      </x:c>
      <x:c r="B6" s="10" t="inlineStr">
        <x:is>
          <x:t xml:space="preserve">https://www.washingtonweedstores.com/brands/Swifts</x:t>
        </x:is>
      </x:c>
    </x:row>
    <x:row r="8">
      <x:c r="A8" s="18" t="str">
        <x:v>Quantity methodology</x:v>
      </x:c>
      <x:c r="B8" s="18" t="str">
        <x:v>Physical net quantity is separate from cannabinoid mg. Researched values use Washington retail/traceability examples where available; synthetic or unsupported exact SKUs are explicitly marked Estimated.</x:v>
      </x:c>
    </x:row>
    <x:row r="9">
      <x:c r="A9" s="18" t="str">
        <x:v>Ceres edible weight source</x:v>
      </x:c>
      <x:c r="B9" s="18" t="str">
        <x:v>https://www.topshelfdata.com/wa/seattle/clutch-cannabis/leaf_product_purchases?business=Hannah+Industries&amp;from=2024-07-01</x:v>
      </x:c>
    </x:row>
    <x:row r="10">
      <x:c r="A10" s="18" t="str">
        <x:v>Marmas / Pioneer examples</x:v>
      </x:c>
      <x:c r="B10" s="18" t="str">
        <x:v>https://www.topshelfdata.com/wa/tacoma/diamond-green/leaf_product_purchases?business=Mt+Baker+Homegrown&amp;from=2024-07-01 ; https://www.topshelfdata.com/wa/tacoma/the-gallery-parkland/leaf_product_purchases?business=Stryps&amp;from=2024-04-01</x:v>
      </x:c>
    </x:row>
    <x:row r="11">
      <x:c r="A11" s="18" t="str">
        <x:v>Green Revolution example</x:v>
      </x:c>
      <x:c r="B11" s="18" t="str">
        <x:v>https://www.topshelfdata.com/wa/bothell/herbal-nation/leaf_product_purchases?business=Harmony+Farms&amp;from=2024-02-01</x:v>
      </x:c>
    </x:row>
    <x:row r="12">
      <x:c r="A12" s="18" t="str">
        <x:v>App note</x:v>
      </x:c>
      <x:c r="B12" s="18" t="str">
        <x:v>Treat these as catalog seed values. Live licensed processor/POS net quantity should override an estimated value in production.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72" hidden="0" customWidth="1"/>
    <x:col min="4" max="4" width="58" hidden="0" customWidth="1"/>
  </x:cols>
  <x:sheetData>
    <x:row r="1">
      <x:c r="A1" s="54" t="str">
        <x:v>Check</x:v>
      </x:c>
      <x:c r="B1" s="54" t="str">
        <x:v>Status</x:v>
      </x:c>
      <x:c r="C1" s="54" t="str">
        <x:v>Washington Standard</x:v>
      </x:c>
      <x:c r="D1" s="54" t="str">
        <x:v>Source</x:v>
      </x:c>
    </x:row>
    <x:row r="2">
      <x:c r="A2" s="18" t="str">
        <x:v>Net quantity</x:v>
      </x:c>
      <x:c r="B2" s="18" t="str">
        <x:v>Pass (schema)</x:v>
      </x:c>
      <x:c r="C2" s="18" t="str">
        <x:v>Solid edible label: net weight in ounces and grams, or volume as applicable.</x:v>
      </x:c>
      <x:c r="D2" s="18" t="str">
        <x:v>https://app.leg.wa.gov/wac/default.aspx?cite=314-55-105</x:v>
      </x:c>
    </x:row>
    <x:row r="3">
      <x:c r="A3" s="18" t="str">
        <x:v>Serving information</x:v>
      </x:c>
      <x:c r="B3" s="18" t="str">
        <x:v>Pass (schema)</x:v>
      </x:c>
      <x:c r="C3" s="18" t="str">
        <x:v>Serving size, amount of product per serving, and servings/package must be prominently displayed.</x:v>
      </x:c>
      <x:c r="D3" s="18" t="str">
        <x:v>https://app.leg.wa.gov/wac/default.aspx?cite=314-55-105</x:v>
      </x:c>
    </x:row>
    <x:row r="4">
      <x:c r="A4" s="18" t="str">
        <x:v>THC serving limit</x:v>
      </x:c>
      <x:c r="B4" s="18" t="str">
        <x:v>Pass</x:v>
      </x:c>
      <x:c r="C4" s="18" t="str">
        <x:v>Single serving of a cannabis-infused product must not exceed 10 mg active delta-9 THC.</x:v>
      </x:c>
      <x:c r="D4" s="18" t="str">
        <x:v>https://app.leg.wa.gov/wac/default.aspx?cite=314-55-095</x:v>
      </x:c>
    </x:row>
    <x:row r="5">
      <x:c r="A5" s="18" t="str">
        <x:v>THC package limit</x:v>
      </x:c>
      <x:c r="B5" s="18" t="str">
        <x:v>Pass</x:v>
      </x:c>
      <x:c r="C5" s="18" t="str">
        <x:v>Ingestible package must not exceed 100 mg active delta-9 THC.</x:v>
      </x:c>
      <x:c r="D5" s="18" t="str">
        <x:v>https://app.leg.wa.gov/wac/default.aspx?cite=314-55-095</x:v>
      </x:c>
    </x:row>
    <x:row r="6">
      <x:c r="A6" s="18" t="str">
        <x:v>Exact SKU quantity</x:v>
      </x:c>
      <x:c r="B6" s="18" t="str">
        <x:v>Conditional</x:v>
      </x:c>
      <x:c r="C6" s="18" t="str">
        <x:v>A real retail label must use the processor's actual measured/labeled net quantity; estimates here are not legal label certification.</x:v>
      </x:c>
      <x:c r="D6" s="18" t="str">
        <x:v>https://app.leg.wa.gov/wac/default.aspx?cite=16-662-105</x:v>
      </x:c>
    </x:row>
  </x:sheetData>
  <x:pageMargins left="0.7" right="0.7" top="0.75" bottom="0.75" header="0.3" footer="0.3"/>
</x:worksheet>
</file>