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3831bbdaf444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quid Edibles Products" sheetId="1" r:id="R5f0ad93486e24d08"/>
    <x:sheet xmlns:r="http://schemas.openxmlformats.org/officeDocument/2006/relationships" name="Catalog Notes" sheetId="2" r:id="R6d330f615b4f4643"/>
    <x:sheet xmlns:r="http://schemas.openxmlformats.org/officeDocument/2006/relationships" name="Regulatory Audit" sheetId="3" r:id="R78ebe20338a14e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"/>
    <x:numFmt numFmtId="200" formatCode="0.##"/>
    <x:numFmt numFmtId="201" formatCode="0"/>
    <x:numFmt numFmtId="202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243447"/>
      </x:patternFill>
    </x:fill>
    <x:fill>
      <x:patternFill patternType="solid">
        <x:fgColor rgb="FF243447"/>
      </x:patternFill>
    </x:fill>
    <x:fill>
      <x:patternFill patternType="solid">
        <x:fgColor rgb="FF243447"/>
      </x:patternFill>
    </x:fill>
    <x:fill>
      <x:patternFill patternType="solid">
        <x:fgColor rgb="FF243447"/>
      </x:patternFill>
    </x:fill>
    <x:fill>
      <x:patternFill patternType="solid">
        <x:fgColor rgb="FF4F6F4F"/>
      </x:patternFill>
    </x:fill>
    <x:fill>
      <x:patternFill patternType="solid">
        <x:fgColor rgb="FFFFFFFF"/>
      </x:patternFill>
    </x:fill>
    <x:fill>
      <x:patternFill patternType="solid">
        <x:fgColor rgb="FF4F6F52"/>
      </x:patternFill>
    </x:fill>
    <x:fill>
      <x:patternFill patternType="solid">
        <x:fgColor rgb="FF4F6F52"/>
      </x:patternFill>
    </x:fill>
  </x:fills>
  <x:borders count="2">
    <x:border/>
    <x:border/>
  </x:borders>
  <x:cellStyleXfs count="1">
    <x:xf numFmtId="0" fontId="0" fillId="0" borderId="1"/>
  </x:cellStyleXfs>
  <x:cellXfs count="74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vertical="top" wrapText="1"/>
    </x:xf>
    <x:xf numFmtId="164" fontId="0" fillId="0" borderId="0" xfId="0" applyAlignment="1">
      <x:alignment vertical="top" wrapText="1"/>
    </x:xf>
    <x:xf numFmtId="164" fontId="0" fillId="0" borderId="1" xfId="0" applyAlignment="1">
      <x:alignment vertical="top" wrapText="1"/>
    </x:xf>
    <x:xf numFmtId="0" fontId="1" fillId="2" borderId="0" xfId="0" applyAlignment="1">
      <x:alignment horizontal="center"/>
    </x:xf>
    <x:xf numFmtId="0" fontId="1" fillId="2" borderId="1" xfId="0" applyAlignment="1">
      <x:alignment horizontal="center"/>
    </x:xf>
    <x:xf numFmtId="0" fontId="0" fillId="0" borderId="0" xfId="0"/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3" borderId="0" xfId="0" applyAlignment="1">
      <x:alignment horizontal="center" vertical="center" wrapText="1"/>
    </x:xf>
    <x:xf numFmtId="0" fontId="1" fillId="4" borderId="0" xfId="0" applyAlignment="1">
      <x:alignment horizontal="center" vertical="center" wrapText="1"/>
    </x:xf>
    <x:xf numFmtId="0" fontId="0" fillId="4" borderId="0" xfId="0"/>
    <x:xf numFmtId="0" fontId="1" fillId="4" borderId="0" xfId="0"/>
    <x:xf numFmtId="0" fontId="1" fillId="4" borderId="0" xfId="0" applyAlignment="1">
      <x:alignment wrapText="1"/>
    </x:xf>
    <x:xf numFmtId="0" fontId="1" fillId="4" borderId="0" xfId="0" applyAlignment="1">
      <x:alignment horizontal="center" wrapText="1"/>
    </x:xf>
    <x:xf numFmtId="0" fontId="1" fillId="5" borderId="0" xfId="0" applyAlignment="1">
      <x:alignment horizontal="center" vertical="center" wrapText="1"/>
    </x:xf>
    <x:xf numFmtId="0" fontId="0" fillId="5" borderId="0" xfId="0"/>
    <x:xf numFmtId="0" fontId="1" fillId="5" borderId="0" xfId="0"/>
    <x:xf numFmtId="0" fontId="1" fillId="5" borderId="0" xfId="0" applyAlignment="1">
      <x:alignment wrapText="1"/>
    </x:xf>
    <x:xf numFmtId="0" fontId="1" fillId="5" borderId="0" xfId="0" applyAlignment="1">
      <x:alignment horizontal="center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 applyAlignment="1">
      <x:alignment vertical="top" wrapText="1"/>
    </x:xf>
    <x:xf numFmtId="164" fontId="0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vertical="top"/>
    </x:xf>
    <x:xf numFmtId="0" fontId="1" fillId="6" borderId="0" xfId="0" applyNumberFormat="1" applyFont="1" applyFill="1" applyBorder="1" applyAlignment="1">
      <x:alignment horizontal="center" vertical="center" wrapText="0"/>
    </x:xf>
    <x:xf numFmtId="0" fontId="0" fillId="7" borderId="0" xfId="0" applyNumberFormat="1" applyFont="1" applyFill="1" applyBorder="1" applyAlignment="1">
      <x:alignment vertical="top" wrapText="0"/>
    </x:xf>
    <x:xf numFmtId="164" fontId="0" fillId="7" borderId="0" xfId="0" applyNumberFormat="1" applyFont="1" applyFill="1" applyBorder="1" applyAlignment="1">
      <x:alignment vertical="top" wrapText="0"/>
    </x:xf>
    <x:xf numFmtId="200" fontId="0" fillId="7" borderId="0" xfId="0" applyNumberFormat="1" applyFont="1" applyFill="1" applyBorder="1" applyAlignment="1">
      <x:alignment vertical="top" wrapText="0"/>
    </x:xf>
    <x:xf numFmtId="201" fontId="0" fillId="7" borderId="0" xfId="0" applyNumberFormat="1" applyFont="1" applyFill="1" applyBorder="1" applyAlignment="1">
      <x:alignment vertical="top" wrapText="0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/>
    <x:xf numFmtId="164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horizontal="center" wrapText="1"/>
    </x:xf>
    <x:xf numFmtId="0" fontId="1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997a0f0f24343" /><Relationship Type="http://schemas.openxmlformats.org/officeDocument/2006/relationships/theme" Target="/xl/theme/theme1.xml" Id="Rdeb6d0d672614e82" /><Relationship Type="http://schemas.openxmlformats.org/officeDocument/2006/relationships/sharedStrings" Target="/xl/sharedStrings.xml" Id="R5eeeddd876ba4143" /><Relationship Type="http://schemas.openxmlformats.org/officeDocument/2006/relationships/worksheet" Target="/xl/worksheets/sheet1.xml" Id="R5f0ad93486e24d08" /><Relationship Type="http://schemas.openxmlformats.org/officeDocument/2006/relationships/worksheet" Target="/xl/worksheets/sheet2.xml" Id="R6d330f615b4f4643" /><Relationship Type="http://schemas.openxmlformats.org/officeDocument/2006/relationships/worksheet" Target="/xl/worksheets/sheet3.xml" Id="R78ebe20338a14e6d" /></Relationships>
</file>

<file path=xl/tables/table1.xml><?xml version="1.0" encoding="utf-8"?>
<x:table xmlns:x="http://schemas.openxmlformats.org/spreadsheetml/2006/main" id="1" name="LiquidEdiblesProducts" displayName="LiquidEdiblesProducts" ref="A1:L51" headerRowCount="1" totalsRowCount="0" totalsRowShown="0">
  <x:tableColumns count="12">
    <x:tableColumn id="1" name="Brand"/>
    <x:tableColumn id="2" name="Product Name"/>
    <x:tableColumn id="3" name="Flavor"/>
    <x:tableColumn id="4" name="Cannabinoid Category"/>
    <x:tableColumn id="5" name="Type"/>
    <x:tableColumn id="6" name="Size"/>
    <x:tableColumn id="7" name="THC mg"/>
    <x:tableColumn id="8" name="CBD mg"/>
    <x:tableColumn id="9" name="Other Cannabinoids"/>
    <x:tableColumn id="10" name="WA Retail Price"/>
    <x:tableColumn id="11" name="Description"/>
    <x:tableColumn id="12" name="Source /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4da067031a4943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8" style="20" hidden="0" customWidth="1"/>
    <x:col min="2" max="2" width="30" style="20" hidden="0" customWidth="1"/>
    <x:col min="3" max="3" width="20" style="20" hidden="0" customWidth="1"/>
    <x:col min="4" max="4" width="18" style="20" hidden="0" customWidth="1"/>
    <x:col min="5" max="5" width="16" style="20" hidden="0" customWidth="1"/>
    <x:col min="6" max="6" width="12" style="20" hidden="0" customWidth="1"/>
    <x:col min="7" max="7" width="10" style="20" hidden="0" customWidth="1"/>
    <x:col min="8" max="8" width="20" style="20" hidden="0" customWidth="1"/>
    <x:col min="9" max="9" width="12" style="20" hidden="0" customWidth="1"/>
    <x:col min="10" max="10" width="13" style="20" hidden="0" customWidth="1"/>
    <x:col min="11" max="11" width="13" style="20" hidden="0" customWidth="1"/>
    <x:col min="12" max="12" width="13" style="20" hidden="0" customWidth="1"/>
    <x:col min="13" max="13" width="13" style="20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6" hidden="0" customWidth="1"/>
    <x:col min="21" max="21" width="15" hidden="0" customWidth="1"/>
    <x:col min="22" max="22" width="48" hidden="0" customWidth="1"/>
    <x:col min="23" max="23" width="42" hidden="0" customWidth="1"/>
    <x:col min="24" max="24" width="14" hidden="0" customWidth="1"/>
    <x:col min="25" max="25" width="16" hidden="0" customWidth="1"/>
    <x:col min="26" max="26" width="11" hidden="0" customWidth="1"/>
    <x:col min="27" max="27" width="18" hidden="0" customWidth="1"/>
    <x:col min="28" max="28" width="12" hidden="0" customWidth="1"/>
    <x:col min="29" max="29" width="22" hidden="0" customWidth="1"/>
    <x:col min="30" max="30" width="48" hidden="0" customWidth="1"/>
    <x:col min="31" max="31" width="58" hidden="0" customWidth="1"/>
    <x:col min="32" max="32" width="30" hidden="0" customWidth="1"/>
    <x:col min="33" max="33" width="20" hidden="0" customWidth="1"/>
    <x:col min="34" max="34" width="28" hidden="0" customWidth="1"/>
    <x:col min="35" max="35" width="62" hidden="0" customWidth="1"/>
    <x:col min="36" max="36" width="60" hidden="0" customWidth="1"/>
  </x:cols>
  <x:sheetData>
    <x:row r="1" s="20" customFormat="1" ht="32" customHeight="1">
      <x:c r="A1" s="47" t="str">
        <x:v>Brand</x:v>
      </x:c>
      <x:c r="B1" s="47" t="str">
        <x:v>Product Name</x:v>
      </x:c>
      <x:c r="C1" s="47" t="str">
        <x:v>Flavor</x:v>
      </x:c>
      <x:c r="D1" s="47" t="str">
        <x:v>Cannabinoid Category</x:v>
      </x:c>
      <x:c r="E1" s="47" t="str">
        <x:v>Lifestyle</x:v>
      </x:c>
      <x:c r="F1" s="47" t="str">
        <x:v>Type</x:v>
      </x:c>
      <x:c r="G1" s="47" t="str">
        <x:v>Size</x:v>
      </x:c>
      <x:c r="H1" s="47" t="str">
        <x:v>Cannabinoid Combo</x:v>
      </x:c>
      <x:c r="I1" s="47" t="str">
        <x:v>Ratio (Tile)</x:v>
      </x:c>
      <x:c r="J1" s="47" t="str">
        <x:v>THC Serving mg</x:v>
      </x:c>
      <x:c r="K1" s="47" t="str">
        <x:v>THC Total mg</x:v>
      </x:c>
      <x:c r="L1" s="47" t="str">
        <x:v>CBD Serving mg</x:v>
      </x:c>
      <x:c r="M1" s="47" t="str">
        <x:v>CBD Total mg</x:v>
      </x:c>
      <x:c r="N1" s="47" t="str">
        <x:v>CBN Serving mg</x:v>
      </x:c>
      <x:c r="O1" s="47" t="str">
        <x:v>CBN Total mg</x:v>
      </x:c>
      <x:c r="P1" s="47" t="str">
        <x:v>CBG Serving mg</x:v>
      </x:c>
      <x:c r="Q1" s="47" t="str">
        <x:v>CBG Total mg</x:v>
      </x:c>
      <x:c r="R1" s="47" t="str">
        <x:v>CBC Serving mg</x:v>
      </x:c>
      <x:c r="S1" s="47" t="str">
        <x:v>CBC Total mg</x:v>
      </x:c>
      <x:c r="T1" s="47" t="str">
        <x:v>Servings Per Package</x:v>
      </x:c>
      <x:c r="U1" s="47" t="str">
        <x:v>WA Retail Price</x:v>
      </x:c>
      <x:c r="V1" s="47" t="str">
        <x:v>Description</x:v>
      </x:c>
      <x:c r="W1" s="47" t="str">
        <x:v>Source / Basis</x:v>
      </x:c>
      <x:c r="X1" s="66" t="str">
        <x:v>Net Qty Basis</x:v>
      </x:c>
      <x:c r="Y1" s="66" t="str">
        <x:v>Net Amount (US)</x:v>
      </x:c>
      <x:c r="Z1" s="66" t="str">
        <x:v>US Unit</x:v>
      </x:c>
      <x:c r="AA1" s="66" t="str">
        <x:v>Net Amount (Metric)</x:v>
      </x:c>
      <x:c r="AB1" s="66" t="str">
        <x:v>Metric Unit</x:v>
      </x:c>
      <x:c r="AC1" s="66" t="str">
        <x:v>Serving Amount (Metric)</x:v>
      </x:c>
      <x:c r="AD1" s="66" t="str">
        <x:v>Qty Confidence / Basis</x:v>
      </x:c>
      <x:c r="AE1" s="66" t="str">
        <x:v>Qty Source</x:v>
      </x:c>
      <x:c r="AF1" s="73" t="str">
        <x:v>Regulatory Quantity Display</x:v>
      </x:c>
      <x:c r="AG1" s="73" t="str">
        <x:v>Serving Amount (US)</x:v>
      </x:c>
      <x:c r="AH1" s="73" t="str">
        <x:v>Physical Serving Display</x:v>
      </x:c>
      <x:c r="AI1" s="73" t="str">
        <x:v>Liquid Packaging Requirement</x:v>
      </x:c>
      <x:c r="AJ1" s="73" t="str">
        <x:v>Regulatory Audit Note</x:v>
      </x:c>
    </x:row>
    <x:row r="2" s="20" customFormat="1" ht="34" customHeight="1">
      <x:c r="A2" s="58" t="str">
        <x:v>Green Revolution</x:v>
      </x:c>
      <x:c r="B2" s="58" t="str">
        <x:v>Blackberry Lemonade 12 oz</x:v>
      </x:c>
      <x:c r="C2" s="58" t="str">
        <x:v>Blackberry Lemonade</x:v>
      </x:c>
      <x:c r="D2" s="58" t="str">
        <x:v>THC Only</x:v>
      </x:c>
      <x:c r="E2" s="58" t="str">
        <x:v>Indica Hybrid</x:v>
      </x:c>
      <x:c r="F2" s="58" t="str">
        <x:v>Drink</x:v>
      </x:c>
      <x:c r="G2" s="59" t="str">
        <x:v>12 oz</x:v>
      </x:c>
      <x:c r="H2" s="59" t="str">
        <x:v>THC Only</x:v>
      </x:c>
      <x:c r="I2" s="58"/>
      <x:c r="J2" s="60" t="n">
        <x:v>10</x:v>
      </x:c>
      <x:c r="K2" s="60" t="n">
        <x:f>J2*$T2</x:f>
        <x:v>100</x:v>
      </x:c>
      <x:c r="L2" s="60" t="n">
        <x:v>0</x:v>
      </x:c>
      <x:c r="M2" s="60" t="n">
        <x:f>L2*$T2</x:f>
        <x:v>0</x:v>
      </x:c>
      <x:c r="N2" s="60" t="n">
        <x:v>0</x:v>
      </x:c>
      <x:c r="O2" s="60" t="n">
        <x:f>N2*$T2</x:f>
        <x:v>0</x:v>
      </x:c>
      <x:c r="P2" s="60" t="n">
        <x:v>0</x:v>
      </x:c>
      <x:c r="Q2" s="60" t="n">
        <x:f>P2*$T2</x:f>
        <x:v>0</x:v>
      </x:c>
      <x:c r="R2" s="60" t="n">
        <x:v>0</x:v>
      </x:c>
      <x:c r="S2" s="60" t="n">
        <x:f>R2*$T2</x:f>
        <x:v>0</x:v>
      </x:c>
      <x:c r="T2" s="61" t="n">
        <x:v>10</x:v>
      </x:c>
      <x:c r="U2" s="58" t="str">
        <x:v>$19.99</x:v>
      </x:c>
      <x:c r="V2" s="52" t="str">
        <x:v>Dark blackberry opens sweet before a sharp lemonade finish cuts through, giving this fizz a richer, more relaxed fruit profile.</x:v>
      </x:c>
      <x:c r="W2" s="52" t="str">
        <x:v>https://greenrevolution.com/products/beverages/</x:v>
      </x:c>
      <x:c r="X2" t="str">
        <x:v>Volume</x:v>
      </x:c>
      <x:c r="Y2" s="67" t="n">
        <x:v>12</x:v>
      </x:c>
      <x:c r="Z2" t="str">
        <x:v>fl oz</x:v>
      </x:c>
      <x:c r="AA2" s="68" t="n">
        <x:f>IF(ISNUMBER(Y2),ROUNDDOWN(Y2*29.5735295625,0),"")</x:f>
        <x:v>354</x:v>
      </x:c>
      <x:c r="AB2" t="str">
        <x:v>mL</x:v>
      </x:c>
      <x:c r="AC2" s="67" t="n">
        <x:f>IF(AND(ISNUMBER(AA2),ISNUMBER(T2),T2&gt;0),AA2/T2,"")</x:f>
        <x:v>35.4</x:v>
      </x:c>
      <x:c r="AD2" s="43" t="str">
        <x:v>Catalog-declared size; normalized to fluid volume</x:v>
      </x:c>
      <x:c r="AE2" s="43" t="str">
        <x:v>https://greenrevolution.com/products/beverages/</x:v>
      </x:c>
      <x:c r="AF2" t="str">
        <x:f>"Net Vol. "&amp;TEXT(Y2,"0.##")&amp;" fl oz ("&amp;TEXT(AA2,"0.#")&amp;" mL)"</x:f>
        <x:v>Net Vol. 12. fl oz (354. mL)</x:v>
      </x:c>
      <x:c r="AG2" s="67" t="n">
        <x:f>IF(AND(ISNUMBER(Y2),ISNUMBER(T2),T2&gt;0),Y2/T2,"")</x:f>
        <x:v>1.2</x:v>
      </x:c>
      <x:c r="AH2" t="str">
        <x:f>IF(AG2="","",TEXT(AG2,"0.##")&amp;" fl oz ("&amp;TEXT(AC2,"0.#")&amp;" mL)")</x:f>
        <x:v>1.2 fl oz (35.4 mL)</x:v>
      </x:c>
      <x:c r="AI2" s="43" t="str">
        <x:v>Multi-serving liquid: resealable closure/cap + measuring device or package markings required</x:v>
      </x:c>
      <x:c r="AJ2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" s="20" customFormat="1" ht="34" customHeight="1">
      <x:c r="A3" s="58" t="str">
        <x:v>Green Revolution</x:v>
      </x:c>
      <x:c r="B3" s="58" t="str">
        <x:v>Summer Peach 12 oz</x:v>
      </x:c>
      <x:c r="C3" s="58" t="str">
        <x:v>Summer Peach</x:v>
      </x:c>
      <x:c r="D3" s="58" t="str">
        <x:v>Blend</x:v>
      </x:c>
      <x:c r="E3" s="58" t="str">
        <x:v>Holistic</x:v>
      </x:c>
      <x:c r="F3" s="58" t="str">
        <x:v>Drink</x:v>
      </x:c>
      <x:c r="G3" s="59" t="str">
        <x:v>12 oz</x:v>
      </x:c>
      <x:c r="H3" s="59" t="str">
        <x:v>THC:CBD</x:v>
      </x:c>
      <x:c r="I3" s="58" t="str">
        <x:v>1:1</x:v>
      </x:c>
      <x:c r="J3" s="60" t="n">
        <x:v>10</x:v>
      </x:c>
      <x:c r="K3" s="60" t="n">
        <x:f>J3*$T3</x:f>
        <x:v>100</x:v>
      </x:c>
      <x:c r="L3" s="60" t="n">
        <x:v>10</x:v>
      </x:c>
      <x:c r="M3" s="60" t="n">
        <x:f>L3*$T3</x:f>
        <x:v>100</x:v>
      </x:c>
      <x:c r="N3" s="60" t="n">
        <x:v>0</x:v>
      </x:c>
      <x:c r="O3" s="60" t="n">
        <x:f>N3*$T3</x:f>
        <x:v>0</x:v>
      </x:c>
      <x:c r="P3" s="60" t="n">
        <x:v>0</x:v>
      </x:c>
      <x:c r="Q3" s="60" t="n">
        <x:f>P3*$T3</x:f>
        <x:v>0</x:v>
      </x:c>
      <x:c r="R3" s="60" t="n">
        <x:v>0</x:v>
      </x:c>
      <x:c r="S3" s="60" t="n">
        <x:f>R3*$T3</x:f>
        <x:v>0</x:v>
      </x:c>
      <x:c r="T3" s="61" t="n">
        <x:v>10</x:v>
      </x:c>
      <x:c r="U3" s="58" t="str">
        <x:v>$21.99</x:v>
      </x:c>
      <x:c r="V3" s="52" t="str">
        <x:v>Soft peach nectar and a light sparkling finish make this one mellow and rounded rather than candy-sweet.</x:v>
      </x:c>
      <x:c r="W3" s="52" t="str">
        <x:v>https://greenrevolution.com/products/beverages/</x:v>
      </x:c>
      <x:c r="X3" t="str">
        <x:v>Volume</x:v>
      </x:c>
      <x:c r="Y3" s="67" t="n">
        <x:v>12</x:v>
      </x:c>
      <x:c r="Z3" t="str">
        <x:v>fl oz</x:v>
      </x:c>
      <x:c r="AA3" s="68" t="n">
        <x:f>IF(ISNUMBER(Y3),ROUNDDOWN(Y3*29.5735295625,0),"")</x:f>
        <x:v>354</x:v>
      </x:c>
      <x:c r="AB3" t="str">
        <x:v>mL</x:v>
      </x:c>
      <x:c r="AC3" s="67" t="n">
        <x:f>IF(AND(ISNUMBER(AA3),ISNUMBER(T3),T3&gt;0),AA3/T3,"")</x:f>
        <x:v>35.4</x:v>
      </x:c>
      <x:c r="AD3" s="43" t="str">
        <x:v>Catalog-declared size; normalized to fluid volume</x:v>
      </x:c>
      <x:c r="AE3" s="43" t="str">
        <x:v>https://greenrevolution.com/products/beverages/</x:v>
      </x:c>
      <x:c r="AF3" t="str">
        <x:f>"Net Vol. "&amp;TEXT(Y3,"0.##")&amp;" fl oz ("&amp;TEXT(AA3,"0.#")&amp;" mL)"</x:f>
        <x:v>Net Vol. 12. fl oz (354. mL)</x:v>
      </x:c>
      <x:c r="AG3" s="67" t="n">
        <x:f>IF(AND(ISNUMBER(Y3),ISNUMBER(T3),T3&gt;0),Y3/T3,"")</x:f>
        <x:v>1.2</x:v>
      </x:c>
      <x:c r="AH3" t="str">
        <x:f>IF(AG3="","",TEXT(AG3,"0.##")&amp;" fl oz ("&amp;TEXT(AC3,"0.#")&amp;" mL)")</x:f>
        <x:v>1.2 fl oz (35.4 mL)</x:v>
      </x:c>
      <x:c r="AI3" s="43" t="str">
        <x:v>Multi-serving liquid: resealable closure/cap + measuring device or package markings required</x:v>
      </x:c>
      <x:c r="AJ3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" s="20" customFormat="1" ht="34" customHeight="1">
      <x:c r="A4" s="58" t="str">
        <x:v>Green Revolution</x:v>
      </x:c>
      <x:c r="B4" s="58" t="str">
        <x:v>Sweet Watermelon 12 oz</x:v>
      </x:c>
      <x:c r="C4" s="58" t="str">
        <x:v>Sweet Watermelon</x:v>
      </x:c>
      <x:c r="D4" s="58" t="str">
        <x:v>Blend</x:v>
      </x:c>
      <x:c r="E4" s="58" t="str">
        <x:v>Holistic</x:v>
      </x:c>
      <x:c r="F4" s="58" t="str">
        <x:v>Drink</x:v>
      </x:c>
      <x:c r="G4" s="59" t="str">
        <x:v>12 oz</x:v>
      </x:c>
      <x:c r="H4" s="59" t="str">
        <x:v>THC:CBG</x:v>
      </x:c>
      <x:c r="I4" s="58" t="str">
        <x:v>1:20</x:v>
      </x:c>
      <x:c r="J4" s="60" t="n">
        <x:v>1</x:v>
      </x:c>
      <x:c r="K4" s="60" t="n">
        <x:f>J4*$T4</x:f>
        <x:v>10</x:v>
      </x:c>
      <x:c r="L4" s="60" t="n">
        <x:v>0</x:v>
      </x:c>
      <x:c r="M4" s="60" t="n">
        <x:f>L4*$T4</x:f>
        <x:v>0</x:v>
      </x:c>
      <x:c r="N4" s="60" t="n">
        <x:v>0</x:v>
      </x:c>
      <x:c r="O4" s="60" t="n">
        <x:f>N4*$T4</x:f>
        <x:v>0</x:v>
      </x:c>
      <x:c r="P4" s="60" t="n">
        <x:v>20</x:v>
      </x:c>
      <x:c r="Q4" s="60" t="n">
        <x:f>P4*$T4</x:f>
        <x:v>200</x:v>
      </x:c>
      <x:c r="R4" s="60" t="n">
        <x:v>0</x:v>
      </x:c>
      <x:c r="S4" s="60" t="n">
        <x:f>R4*$T4</x:f>
        <x:v>0</x:v>
      </x:c>
      <x:c r="T4" s="61" t="n">
        <x:v>10</x:v>
      </x:c>
      <x:c r="U4" s="58" t="str">
        <x:v>$20.99</x:v>
      </x:c>
      <x:c r="V4" s="52" t="str">
        <x:v>Fresh watermelon stays clean and juicy, with 1mg THC and 20mg CBG per serving keeping the 1:20 formula light on THC.</x:v>
      </x:c>
      <x:c r="W4" s="52" t="str">
        <x:v>https://greenrevolution.com/products/beverages/wildside/</x:v>
      </x:c>
      <x:c r="X4" t="str">
        <x:v>Volume</x:v>
      </x:c>
      <x:c r="Y4" s="67" t="n">
        <x:v>12</x:v>
      </x:c>
      <x:c r="Z4" t="str">
        <x:v>fl oz</x:v>
      </x:c>
      <x:c r="AA4" s="68" t="n">
        <x:f>IF(ISNUMBER(Y4),ROUNDDOWN(Y4*29.5735295625,0),"")</x:f>
        <x:v>354</x:v>
      </x:c>
      <x:c r="AB4" t="str">
        <x:v>mL</x:v>
      </x:c>
      <x:c r="AC4" s="67" t="n">
        <x:f>IF(AND(ISNUMBER(AA4),ISNUMBER(T4),T4&gt;0),AA4/T4,"")</x:f>
        <x:v>35.4</x:v>
      </x:c>
      <x:c r="AD4" s="43" t="str">
        <x:v>Catalog-declared size; normalized to fluid volume</x:v>
      </x:c>
      <x:c r="AE4" s="43" t="str">
        <x:v>https://greenrevolution.com/products/beverages/wildside/</x:v>
      </x:c>
      <x:c r="AF4" t="str">
        <x:f>"Net Vol. "&amp;TEXT(Y4,"0.##")&amp;" fl oz ("&amp;TEXT(AA4,"0.#")&amp;" mL)"</x:f>
        <x:v>Net Vol. 12. fl oz (354. mL)</x:v>
      </x:c>
      <x:c r="AG4" s="67" t="n">
        <x:f>IF(AND(ISNUMBER(Y4),ISNUMBER(T4),T4&gt;0),Y4/T4,"")</x:f>
        <x:v>1.2</x:v>
      </x:c>
      <x:c r="AH4" t="str">
        <x:f>IF(AG4="","",TEXT(AG4,"0.##")&amp;" fl oz ("&amp;TEXT(AC4,"0.#")&amp;" mL)")</x:f>
        <x:v>1.2 fl oz (35.4 mL)</x:v>
      </x:c>
      <x:c r="AI4" s="43" t="str">
        <x:v>Multi-serving liquid: resealable closure/cap + measuring device or package markings required</x:v>
      </x:c>
      <x:c r="AJ4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5" s="20" customFormat="1" ht="34" customHeight="1">
      <x:c r="A5" s="58" t="str">
        <x:v>Green Revolution</x:v>
      </x:c>
      <x:c r="B5" s="58" t="str">
        <x:v>Tropical Mango 12 oz</x:v>
      </x:c>
      <x:c r="C5" s="58" t="str">
        <x:v>Tropical Mango</x:v>
      </x:c>
      <x:c r="D5" s="58" t="str">
        <x:v>Blend</x:v>
      </x:c>
      <x:c r="E5" s="58" t="str">
        <x:v>Sativa Hybrid</x:v>
      </x:c>
      <x:c r="F5" s="58" t="str">
        <x:v>Drink</x:v>
      </x:c>
      <x:c r="G5" s="59" t="str">
        <x:v>12 oz</x:v>
      </x:c>
      <x:c r="H5" s="59" t="str">
        <x:v>THC:CBD:CBG</x:v>
      </x:c>
      <x:c r="I5" s="58" t="str">
        <x:v>4:1:1</x:v>
      </x:c>
      <x:c r="J5" s="60" t="n">
        <x:v>10</x:v>
      </x:c>
      <x:c r="K5" s="60" t="n">
        <x:f>J5*$T5</x:f>
        <x:v>100</x:v>
      </x:c>
      <x:c r="L5" s="60" t="n">
        <x:v>2.5</x:v>
      </x:c>
      <x:c r="M5" s="60" t="n">
        <x:f>L5*$T5</x:f>
        <x:v>25</x:v>
      </x:c>
      <x:c r="N5" s="60" t="n">
        <x:v>0</x:v>
      </x:c>
      <x:c r="O5" s="60" t="n">
        <x:f>N5*$T5</x:f>
        <x:v>0</x:v>
      </x:c>
      <x:c r="P5" s="60" t="n">
        <x:v>2.5</x:v>
      </x:c>
      <x:c r="Q5" s="60" t="n">
        <x:f>P5*$T5</x:f>
        <x:v>25</x:v>
      </x:c>
      <x:c r="R5" s="60" t="n">
        <x:v>0</x:v>
      </x:c>
      <x:c r="S5" s="60" t="n">
        <x:f>R5*$T5</x:f>
        <x:v>0</x:v>
      </x:c>
      <x:c r="T5" s="61" t="n">
        <x:v>10</x:v>
      </x:c>
      <x:c r="U5" s="58" t="str">
        <x:v>$21.99</x:v>
      </x:c>
      <x:c r="V5" s="52" t="str">
        <x:v>Ripe mango leads with a lush tropical sweetness, followed by a brighter finish that keeps the drink from feeling heavy.</x:v>
      </x:c>
      <x:c r="W5" s="52" t="str">
        <x:v>https://greenrevolution.com/products/beverages/</x:v>
      </x:c>
      <x:c r="X5" t="str">
        <x:v>Volume</x:v>
      </x:c>
      <x:c r="Y5" s="67" t="n">
        <x:v>12</x:v>
      </x:c>
      <x:c r="Z5" t="str">
        <x:v>fl oz</x:v>
      </x:c>
      <x:c r="AA5" s="68" t="n">
        <x:f>IF(ISNUMBER(Y5),ROUNDDOWN(Y5*29.5735295625,0),"")</x:f>
        <x:v>354</x:v>
      </x:c>
      <x:c r="AB5" t="str">
        <x:v>mL</x:v>
      </x:c>
      <x:c r="AC5" s="67" t="n">
        <x:f>IF(AND(ISNUMBER(AA5),ISNUMBER(T5),T5&gt;0),AA5/T5,"")</x:f>
        <x:v>35.4</x:v>
      </x:c>
      <x:c r="AD5" s="43" t="str">
        <x:v>Catalog-declared size; normalized to fluid volume</x:v>
      </x:c>
      <x:c r="AE5" s="43" t="str">
        <x:v>https://greenrevolution.com/products/beverages/</x:v>
      </x:c>
      <x:c r="AF5" t="str">
        <x:f>"Net Vol. "&amp;TEXT(Y5,"0.##")&amp;" fl oz ("&amp;TEXT(AA5,"0.#")&amp;" mL)"</x:f>
        <x:v>Net Vol. 12. fl oz (354. mL)</x:v>
      </x:c>
      <x:c r="AG5" s="67" t="n">
        <x:f>IF(AND(ISNUMBER(Y5),ISNUMBER(T5),T5&gt;0),Y5/T5,"")</x:f>
        <x:v>1.2</x:v>
      </x:c>
      <x:c r="AH5" t="str">
        <x:f>IF(AG5="","",TEXT(AG5,"0.##")&amp;" fl oz ("&amp;TEXT(AC5,"0.#")&amp;" mL)")</x:f>
        <x:v>1.2 fl oz (35.4 mL)</x:v>
      </x:c>
      <x:c r="AI5" s="43" t="str">
        <x:v>Multi-serving liquid: resealable closure/cap + measuring device or package markings required</x:v>
      </x:c>
      <x:c r="AJ5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6" s="20" customFormat="1" ht="34" customHeight="1">
      <x:c r="A6" s="58" t="str">
        <x:v>Green Revolution</x:v>
      </x:c>
      <x:c r="B6" s="58" t="str">
        <x:v>Agave Lime MAX 2 oz</x:v>
      </x:c>
      <x:c r="C6" s="58" t="str">
        <x:v>Agave Lime</x:v>
      </x:c>
      <x:c r="D6" s="58" t="str">
        <x:v>Blend</x:v>
      </x:c>
      <x:c r="E6" s="58" t="str">
        <x:v>Sativa</x:v>
      </x:c>
      <x:c r="F6" s="58" t="str">
        <x:v>Shot</x:v>
      </x:c>
      <x:c r="G6" s="59" t="str">
        <x:v>2 oz</x:v>
      </x:c>
      <x:c r="H6" s="59" t="str">
        <x:v>THC:CBG:CBC</x:v>
      </x:c>
      <x:c r="I6" s="58" t="str">
        <x:v>2:1:1</x:v>
      </x:c>
      <x:c r="J6" s="60" t="n">
        <x:v>10</x:v>
      </x:c>
      <x:c r="K6" s="60" t="n">
        <x:f>J6*$T6</x:f>
        <x:v>100</x:v>
      </x:c>
      <x:c r="L6" s="60" t="n">
        <x:v>0</x:v>
      </x:c>
      <x:c r="M6" s="60" t="n">
        <x:f>L6*$T6</x:f>
        <x:v>0</x:v>
      </x:c>
      <x:c r="N6" s="60" t="n">
        <x:v>0</x:v>
      </x:c>
      <x:c r="O6" s="60" t="n">
        <x:f>N6*$T6</x:f>
        <x:v>0</x:v>
      </x:c>
      <x:c r="P6" s="60" t="n">
        <x:v>5</x:v>
      </x:c>
      <x:c r="Q6" s="60" t="n">
        <x:f>P6*$T6</x:f>
        <x:v>50</x:v>
      </x:c>
      <x:c r="R6" s="60" t="n">
        <x:v>5</x:v>
      </x:c>
      <x:c r="S6" s="60" t="n">
        <x:f>R6*$T6</x:f>
        <x:v>50</x:v>
      </x:c>
      <x:c r="T6" s="61" t="n">
        <x:v>10</x:v>
      </x:c>
      <x:c r="U6" s="58" t="str">
        <x:v>$15.99</x:v>
      </x:c>
      <x:c r="V6" s="52" t="str">
        <x:v>Fresh lime and smooth agave give this concentrated shot a margarita-like edge without turning syrupy.</x:v>
      </x:c>
      <x:c r="W6" s="52" t="str">
        <x:v>https://greenrevolution.com/products/beverages/</x:v>
      </x:c>
      <x:c r="X6" t="str">
        <x:v>Volume</x:v>
      </x:c>
      <x:c r="Y6" s="67" t="n">
        <x:v>2</x:v>
      </x:c>
      <x:c r="Z6" t="str">
        <x:v>fl oz</x:v>
      </x:c>
      <x:c r="AA6" s="68" t="n">
        <x:f>IF(ISNUMBER(Y6),ROUNDDOWN(Y6*29.5735295625,0),"")</x:f>
        <x:v>59</x:v>
      </x:c>
      <x:c r="AB6" t="str">
        <x:v>mL</x:v>
      </x:c>
      <x:c r="AC6" s="67" t="n">
        <x:f>IF(AND(ISNUMBER(AA6),ISNUMBER(T6),T6&gt;0),AA6/T6,"")</x:f>
        <x:v>5.9</x:v>
      </x:c>
      <x:c r="AD6" s="43" t="str">
        <x:v>Catalog-declared size; normalized to fluid volume</x:v>
      </x:c>
      <x:c r="AE6" s="43" t="str">
        <x:v>https://greenrevolution.com/products/beverages/</x:v>
      </x:c>
      <x:c r="AF6" t="str">
        <x:f>"Net Vol. "&amp;TEXT(Y6,"0.##")&amp;" fl oz ("&amp;TEXT(AA6,"0.#")&amp;" mL)"</x:f>
        <x:v>Net Vol. 2. fl oz (59. mL)</x:v>
      </x:c>
      <x:c r="AG6" s="67" t="n">
        <x:f>IF(AND(ISNUMBER(Y6),ISNUMBER(T6),T6&gt;0),Y6/T6,"")</x:f>
        <x:v>0.2</x:v>
      </x:c>
      <x:c r="AH6" t="str">
        <x:f>IF(AG6="","",TEXT(AG6,"0.##")&amp;" fl oz ("&amp;TEXT(AC6,"0.#")&amp;" mL)")</x:f>
        <x:v>0.2 fl oz (5.9 mL)</x:v>
      </x:c>
      <x:c r="AI6" s="43" t="str">
        <x:v>Multi-serving liquid: resealable closure/cap + measuring device or package markings required</x:v>
      </x:c>
      <x:c r="AJ6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7" s="20" customFormat="1" ht="34" customHeight="1">
      <x:c r="A7" s="58" t="str">
        <x:v>Green Revolution</x:v>
      </x:c>
      <x:c r="B7" s="58" t="str">
        <x:v>Blue Raspberry MAX 2 oz</x:v>
      </x:c>
      <x:c r="C7" s="58" t="str">
        <x:v>Blue Raspberry</x:v>
      </x:c>
      <x:c r="D7" s="58" t="str">
        <x:v>Blend</x:v>
      </x:c>
      <x:c r="E7" s="58" t="str">
        <x:v>Hybrid</x:v>
      </x:c>
      <x:c r="F7" s="58" t="str">
        <x:v>Shot</x:v>
      </x:c>
      <x:c r="G7" s="59" t="str">
        <x:v>2 oz</x:v>
      </x:c>
      <x:c r="H7" s="59" t="str">
        <x:v>THC:CBN</x:v>
      </x:c>
      <x:c r="I7" s="58" t="str">
        <x:v>20:1</x:v>
      </x:c>
      <x:c r="J7" s="60" t="n">
        <x:v>10</x:v>
      </x:c>
      <x:c r="K7" s="60" t="n">
        <x:f>J7*$T7</x:f>
        <x:v>100</x:v>
      </x:c>
      <x:c r="L7" s="60" t="n">
        <x:v>0</x:v>
      </x:c>
      <x:c r="M7" s="60" t="n">
        <x:f>L7*$T7</x:f>
        <x:v>0</x:v>
      </x:c>
      <x:c r="N7" s="60" t="n">
        <x:v>0.5</x:v>
      </x:c>
      <x:c r="O7" s="60" t="n">
        <x:f>N7*$T7</x:f>
        <x:v>5</x:v>
      </x:c>
      <x:c r="P7" s="60" t="n">
        <x:v>0</x:v>
      </x:c>
      <x:c r="Q7" s="60" t="n">
        <x:f>P7*$T7</x:f>
        <x:v>0</x:v>
      </x:c>
      <x:c r="R7" s="60" t="n">
        <x:v>0</x:v>
      </x:c>
      <x:c r="S7" s="60" t="n">
        <x:f>R7*$T7</x:f>
        <x:v>0</x:v>
      </x:c>
      <x:c r="T7" s="61" t="n">
        <x:v>10</x:v>
      </x:c>
      <x:c r="U7" s="58" t="str">
        <x:v>$14.99</x:v>
      </x:c>
      <x:c r="V7" s="52" t="str">
        <x:v>Punchy blue raspberry brings tart candy flavor up front, followed by a clean finish built for the compact MAX format.</x:v>
      </x:c>
      <x:c r="W7" s="52" t="str">
        <x:v>https://greenrevolution.com/products/beverages/</x:v>
      </x:c>
      <x:c r="X7" t="str">
        <x:v>Volume</x:v>
      </x:c>
      <x:c r="Y7" s="67" t="n">
        <x:v>2</x:v>
      </x:c>
      <x:c r="Z7" t="str">
        <x:v>fl oz</x:v>
      </x:c>
      <x:c r="AA7" s="68" t="n">
        <x:f>IF(ISNUMBER(Y7),ROUNDDOWN(Y7*29.5735295625,0),"")</x:f>
        <x:v>59</x:v>
      </x:c>
      <x:c r="AB7" t="str">
        <x:v>mL</x:v>
      </x:c>
      <x:c r="AC7" s="67" t="n">
        <x:f>IF(AND(ISNUMBER(AA7),ISNUMBER(T7),T7&gt;0),AA7/T7,"")</x:f>
        <x:v>5.9</x:v>
      </x:c>
      <x:c r="AD7" s="43" t="str">
        <x:v>Catalog-declared size; normalized to fluid volume</x:v>
      </x:c>
      <x:c r="AE7" s="43" t="str">
        <x:v>https://greenrevolution.com/products/beverages/</x:v>
      </x:c>
      <x:c r="AF7" t="str">
        <x:f>"Net Vol. "&amp;TEXT(Y7,"0.##")&amp;" fl oz ("&amp;TEXT(AA7,"0.#")&amp;" mL)"</x:f>
        <x:v>Net Vol. 2. fl oz (59. mL)</x:v>
      </x:c>
      <x:c r="AG7" s="67" t="n">
        <x:f>IF(AND(ISNUMBER(Y7),ISNUMBER(T7),T7&gt;0),Y7/T7,"")</x:f>
        <x:v>0.2</x:v>
      </x:c>
      <x:c r="AH7" t="str">
        <x:f>IF(AG7="","",TEXT(AG7,"0.##")&amp;" fl oz ("&amp;TEXT(AC7,"0.#")&amp;" mL)")</x:f>
        <x:v>0.2 fl oz (5.9 mL)</x:v>
      </x:c>
      <x:c r="AI7" s="43" t="str">
        <x:v>Multi-serving liquid: resealable closure/cap + measuring device or package markings required</x:v>
      </x:c>
      <x:c r="AJ7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8" s="20" customFormat="1" ht="34" customHeight="1">
      <x:c r="A8" s="58" t="str">
        <x:v>Green Revolution</x:v>
      </x:c>
      <x:c r="B8" s="58" t="str">
        <x:v>Blueberry Acai MAX 2 oz</x:v>
      </x:c>
      <x:c r="C8" s="58" t="str">
        <x:v>Blueberry Acai</x:v>
      </x:c>
      <x:c r="D8" s="58" t="str">
        <x:v>Blend</x:v>
      </x:c>
      <x:c r="E8" s="58" t="str">
        <x:v>Indica Hybrid</x:v>
      </x:c>
      <x:c r="F8" s="58" t="str">
        <x:v>Shot</x:v>
      </x:c>
      <x:c r="G8" s="59" t="str">
        <x:v>2 oz</x:v>
      </x:c>
      <x:c r="H8" s="59" t="str">
        <x:v>THC:CBD:CBN</x:v>
      </x:c>
      <x:c r="I8" s="58" t="str">
        <x:v>2:1:1</x:v>
      </x:c>
      <x:c r="J8" s="60" t="n">
        <x:v>10</x:v>
      </x:c>
      <x:c r="K8" s="60" t="n">
        <x:f>J8*$T8</x:f>
        <x:v>100</x:v>
      </x:c>
      <x:c r="L8" s="60" t="n">
        <x:v>5</x:v>
      </x:c>
      <x:c r="M8" s="60" t="n">
        <x:f>L8*$T8</x:f>
        <x:v>50</x:v>
      </x:c>
      <x:c r="N8" s="60" t="n">
        <x:v>5</x:v>
      </x:c>
      <x:c r="O8" s="60" t="n">
        <x:f>N8*$T8</x:f>
        <x:v>50</x:v>
      </x:c>
      <x:c r="P8" s="60" t="n">
        <x:v>0</x:v>
      </x:c>
      <x:c r="Q8" s="60" t="n">
        <x:f>P8*$T8</x:f>
        <x:v>0</x:v>
      </x:c>
      <x:c r="R8" s="60" t="n">
        <x:v>0</x:v>
      </x:c>
      <x:c r="S8" s="60" t="n">
        <x:f>R8*$T8</x:f>
        <x:v>0</x:v>
      </x:c>
      <x:c r="T8" s="61" t="n">
        <x:v>10</x:v>
      </x:c>
      <x:c r="U8" s="58" t="str">
        <x:v>$16.99</x:v>
      </x:c>
      <x:c r="V8" s="52" t="str">
        <x:v>Deep blueberry and tangy acai make this shot darker and fruitier than the citrus-heavy options, with a lightly tart finish.</x:v>
      </x:c>
      <x:c r="W8" s="52" t="str">
        <x:v>https://greenrevolution.com/products/beverages/</x:v>
      </x:c>
      <x:c r="X8" t="str">
        <x:v>Volume</x:v>
      </x:c>
      <x:c r="Y8" s="67" t="n">
        <x:v>2</x:v>
      </x:c>
      <x:c r="Z8" t="str">
        <x:v>fl oz</x:v>
      </x:c>
      <x:c r="AA8" s="68" t="n">
        <x:f>IF(ISNUMBER(Y8),ROUNDDOWN(Y8*29.5735295625,0),"")</x:f>
        <x:v>59</x:v>
      </x:c>
      <x:c r="AB8" t="str">
        <x:v>mL</x:v>
      </x:c>
      <x:c r="AC8" s="67" t="n">
        <x:f>IF(AND(ISNUMBER(AA8),ISNUMBER(T8),T8&gt;0),AA8/T8,"")</x:f>
        <x:v>5.9</x:v>
      </x:c>
      <x:c r="AD8" s="43" t="str">
        <x:v>Catalog-declared size; normalized to fluid volume</x:v>
      </x:c>
      <x:c r="AE8" s="43" t="str">
        <x:v>https://greenrevolution.com/products/beverages/</x:v>
      </x:c>
      <x:c r="AF8" t="str">
        <x:f>"Net Vol. "&amp;TEXT(Y8,"0.##")&amp;" fl oz ("&amp;TEXT(AA8,"0.#")&amp;" mL)"</x:f>
        <x:v>Net Vol. 2. fl oz (59. mL)</x:v>
      </x:c>
      <x:c r="AG8" s="67" t="n">
        <x:f>IF(AND(ISNUMBER(Y8),ISNUMBER(T8),T8&gt;0),Y8/T8,"")</x:f>
        <x:v>0.2</x:v>
      </x:c>
      <x:c r="AH8" t="str">
        <x:f>IF(AG8="","",TEXT(AG8,"0.##")&amp;" fl oz ("&amp;TEXT(AC8,"0.#")&amp;" mL)")</x:f>
        <x:v>0.2 fl oz (5.9 mL)</x:v>
      </x:c>
      <x:c r="AI8" s="43" t="str">
        <x:v>Multi-serving liquid: resealable closure/cap + measuring device or package markings required</x:v>
      </x:c>
      <x:c r="AJ8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9" s="20" customFormat="1" ht="34" customHeight="1">
      <x:c r="A9" s="58" t="str">
        <x:v>Green Revolution</x:v>
      </x:c>
      <x:c r="B9" s="58" t="str">
        <x:v>Lemon Ginger 12 oz</x:v>
      </x:c>
      <x:c r="C9" s="58" t="str">
        <x:v>Lemon Ginger</x:v>
      </x:c>
      <x:c r="D9" s="58" t="str">
        <x:v>CBD</x:v>
      </x:c>
      <x:c r="E9" s="58" t="str">
        <x:v>Holistic</x:v>
      </x:c>
      <x:c r="F9" s="58" t="str">
        <x:v>Drink</x:v>
      </x:c>
      <x:c r="G9" s="59" t="str">
        <x:v>12 oz</x:v>
      </x:c>
      <x:c r="H9" s="59" t="str">
        <x:v>CBD Only</x:v>
      </x:c>
      <x:c r="I9" s="58"/>
      <x:c r="J9" s="60" t="n">
        <x:v>0</x:v>
      </x:c>
      <x:c r="K9" s="60" t="n">
        <x:f>J9*$T9</x:f>
        <x:v>0</x:v>
      </x:c>
      <x:c r="L9" s="60" t="n">
        <x:v>10</x:v>
      </x:c>
      <x:c r="M9" s="60" t="n">
        <x:f>L9*$T9</x:f>
        <x:v>100</x:v>
      </x:c>
      <x:c r="N9" s="60" t="n">
        <x:v>0</x:v>
      </x:c>
      <x:c r="O9" s="60" t="n">
        <x:f>N9*$T9</x:f>
        <x:v>0</x:v>
      </x:c>
      <x:c r="P9" s="60" t="n">
        <x:v>0</x:v>
      </x:c>
      <x:c r="Q9" s="60" t="n">
        <x:f>P9*$T9</x:f>
        <x:v>0</x:v>
      </x:c>
      <x:c r="R9" s="60" t="n">
        <x:v>0</x:v>
      </x:c>
      <x:c r="S9" s="60" t="n">
        <x:f>R9*$T9</x:f>
        <x:v>0</x:v>
      </x:c>
      <x:c r="T9" s="61" t="n">
        <x:v>10</x:v>
      </x:c>
      <x:c r="U9" s="58" t="str">
        <x:v>$18.99</x:v>
      </x:c>
      <x:c r="V9" s="52" t="str">
        <x:v>Lemon keeps the can bright while ginger adds a dry little kick that lingers after the bubbles fade.</x:v>
      </x:c>
      <x:c r="W9" s="52" t="str">
        <x:v>https://greenrevolution.com/products/beverages/</x:v>
      </x:c>
      <x:c r="X9" t="str">
        <x:v>Volume</x:v>
      </x:c>
      <x:c r="Y9" s="67" t="n">
        <x:v>12</x:v>
      </x:c>
      <x:c r="Z9" t="str">
        <x:v>fl oz</x:v>
      </x:c>
      <x:c r="AA9" s="68" t="n">
        <x:f>IF(ISNUMBER(Y9),ROUNDDOWN(Y9*29.5735295625,0),"")</x:f>
        <x:v>354</x:v>
      </x:c>
      <x:c r="AB9" t="str">
        <x:v>mL</x:v>
      </x:c>
      <x:c r="AC9" s="67" t="n">
        <x:f>IF(AND(ISNUMBER(AA9),ISNUMBER(T9),T9&gt;0),AA9/T9,"")</x:f>
        <x:v>35.4</x:v>
      </x:c>
      <x:c r="AD9" s="43" t="str">
        <x:v>Catalog-declared size; normalized to fluid volume</x:v>
      </x:c>
      <x:c r="AE9" s="43" t="str">
        <x:v>https://greenrevolution.com/products/beverages/</x:v>
      </x:c>
      <x:c r="AF9" t="str">
        <x:f>"Net Vol. "&amp;TEXT(Y9,"0.##")&amp;" fl oz ("&amp;TEXT(AA9,"0.#")&amp;" mL)"</x:f>
        <x:v>Net Vol. 12. fl oz (354. mL)</x:v>
      </x:c>
      <x:c r="AG9" s="67" t="n">
        <x:f>IF(AND(ISNUMBER(Y9),ISNUMBER(T9),T9&gt;0),Y9/T9,"")</x:f>
        <x:v>1.2</x:v>
      </x:c>
      <x:c r="AH9" t="str">
        <x:f>IF(AG9="","",TEXT(AG9,"0.##")&amp;" fl oz ("&amp;TEXT(AC9,"0.#")&amp;" mL)")</x:f>
        <x:v>1.2 fl oz (35.4 mL)</x:v>
      </x:c>
      <x:c r="AI9" s="43" t="str">
        <x:v>Multi-serving liquid: resealable closure/cap + measuring device or package markings required</x:v>
      </x:c>
      <x:c r="AJ9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0" s="20" customFormat="1" ht="34" customHeight="1">
      <x:c r="A10" s="58" t="str">
        <x:v>Green Revolution</x:v>
      </x:c>
      <x:c r="B10" s="58" t="str">
        <x:v>Pink Grapefruit 12 oz</x:v>
      </x:c>
      <x:c r="C10" s="58" t="str">
        <x:v>Pink Grapefruit</x:v>
      </x:c>
      <x:c r="D10" s="58" t="str">
        <x:v>Blend</x:v>
      </x:c>
      <x:c r="E10" s="58" t="str">
        <x:v>Holistic</x:v>
      </x:c>
      <x:c r="F10" s="58" t="str">
        <x:v>Drink</x:v>
      </x:c>
      <x:c r="G10" s="59" t="str">
        <x:v>12 oz</x:v>
      </x:c>
      <x:c r="H10" s="59" t="str">
        <x:v>THC:CBD</x:v>
      </x:c>
      <x:c r="I10" s="58" t="str">
        <x:v>1:4</x:v>
      </x:c>
      <x:c r="J10" s="60" t="n">
        <x:v>10</x:v>
      </x:c>
      <x:c r="K10" s="60" t="n">
        <x:f>J10*$T10</x:f>
        <x:v>100</x:v>
      </x:c>
      <x:c r="L10" s="60" t="n">
        <x:v>40</x:v>
      </x:c>
      <x:c r="M10" s="60" t="n">
        <x:f>L10*$T10</x:f>
        <x:v>400</x:v>
      </x:c>
      <x:c r="N10" s="60" t="n">
        <x:v>0</x:v>
      </x:c>
      <x:c r="O10" s="60" t="n">
        <x:f>N10*$T10</x:f>
        <x:v>0</x:v>
      </x:c>
      <x:c r="P10" s="60" t="n">
        <x:v>0</x:v>
      </x:c>
      <x:c r="Q10" s="60" t="n">
        <x:f>P10*$T10</x:f>
        <x:v>0</x:v>
      </x:c>
      <x:c r="R10" s="60" t="n">
        <x:v>0</x:v>
      </x:c>
      <x:c r="S10" s="60" t="n">
        <x:f>R10*$T10</x:f>
        <x:v>0</x:v>
      </x:c>
      <x:c r="T10" s="61" t="n">
        <x:v>10</x:v>
      </x:c>
      <x:c r="U10" s="58" t="str">
        <x:v>$19.99</x:v>
      </x:c>
      <x:c r="V10" s="52" t="str">
        <x:v>Tart pink grapefruit brings a pleasantly bitter citrus snap, keeping the profile lively instead of overly sweet.</x:v>
      </x:c>
      <x:c r="W10" s="52" t="str">
        <x:v>https://greenrevolution.com/products/beverages/</x:v>
      </x:c>
      <x:c r="X10" t="str">
        <x:v>Volume</x:v>
      </x:c>
      <x:c r="Y10" s="67" t="n">
        <x:v>12</x:v>
      </x:c>
      <x:c r="Z10" t="str">
        <x:v>fl oz</x:v>
      </x:c>
      <x:c r="AA10" s="68" t="n">
        <x:f>IF(ISNUMBER(Y10),ROUNDDOWN(Y10*29.5735295625,0),"")</x:f>
        <x:v>354</x:v>
      </x:c>
      <x:c r="AB10" t="str">
        <x:v>mL</x:v>
      </x:c>
      <x:c r="AC10" s="67" t="n">
        <x:f>IF(AND(ISNUMBER(AA10),ISNUMBER(T10),T10&gt;0),AA10/T10,"")</x:f>
        <x:v>35.4</x:v>
      </x:c>
      <x:c r="AD10" s="43" t="str">
        <x:v>Catalog-declared size; normalized to fluid volume</x:v>
      </x:c>
      <x:c r="AE10" s="43" t="str">
        <x:v>https://greenrevolution.com/products/beverages/</x:v>
      </x:c>
      <x:c r="AF10" t="str">
        <x:f>"Net Vol. "&amp;TEXT(Y10,"0.##")&amp;" fl oz ("&amp;TEXT(AA10,"0.#")&amp;" mL)"</x:f>
        <x:v>Net Vol. 12. fl oz (354. mL)</x:v>
      </x:c>
      <x:c r="AG10" s="67" t="n">
        <x:f>IF(AND(ISNUMBER(Y10),ISNUMBER(T10),T10&gt;0),Y10/T10,"")</x:f>
        <x:v>1.2</x:v>
      </x:c>
      <x:c r="AH10" t="str">
        <x:f>IF(AG10="","",TEXT(AG10,"0.##")&amp;" fl oz ("&amp;TEXT(AC10,"0.#")&amp;" mL)")</x:f>
        <x:v>1.2 fl oz (35.4 mL)</x:v>
      </x:c>
      <x:c r="AI10" s="43" t="str">
        <x:v>Multi-serving liquid: resealable closure/cap + measuring device or package markings required</x:v>
      </x:c>
      <x:c r="AJ10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1" s="20" customFormat="1" ht="34" customHeight="1">
      <x:c r="A11" s="58" t="str">
        <x:v>Green Revolution</x:v>
      </x:c>
      <x:c r="B11" s="58" t="str">
        <x:v>Chamomile Lemon 2 oz</x:v>
      </x:c>
      <x:c r="C11" s="58" t="str">
        <x:v>Chamomile Lemon</x:v>
      </x:c>
      <x:c r="D11" s="58" t="str">
        <x:v>CBD</x:v>
      </x:c>
      <x:c r="E11" s="58" t="str">
        <x:v>Holistic</x:v>
      </x:c>
      <x:c r="F11" s="58" t="str">
        <x:v>Shot</x:v>
      </x:c>
      <x:c r="G11" s="59" t="str">
        <x:v>2 oz</x:v>
      </x:c>
      <x:c r="H11" s="59" t="str">
        <x:v>CBD Only</x:v>
      </x:c>
      <x:c r="I11" s="58"/>
      <x:c r="J11" s="60" t="n">
        <x:v>0</x:v>
      </x:c>
      <x:c r="K11" s="60" t="n">
        <x:f>J11*$T11</x:f>
        <x:v>0</x:v>
      </x:c>
      <x:c r="L11" s="60" t="n">
        <x:v>10</x:v>
      </x:c>
      <x:c r="M11" s="60" t="n">
        <x:f>L11*$T11</x:f>
        <x:v>100</x:v>
      </x:c>
      <x:c r="N11" s="60" t="n">
        <x:v>0</x:v>
      </x:c>
      <x:c r="O11" s="60" t="n">
        <x:f>N11*$T11</x:f>
        <x:v>0</x:v>
      </x:c>
      <x:c r="P11" s="60" t="n">
        <x:v>0</x:v>
      </x:c>
      <x:c r="Q11" s="60" t="n">
        <x:f>P11*$T11</x:f>
        <x:v>0</x:v>
      </x:c>
      <x:c r="R11" s="60" t="n">
        <x:v>0</x:v>
      </x:c>
      <x:c r="S11" s="60" t="n">
        <x:f>R11*$T11</x:f>
        <x:v>0</x:v>
      </x:c>
      <x:c r="T11" s="61" t="n">
        <x:v>10</x:v>
      </x:c>
      <x:c r="U11" s="58" t="str">
        <x:v>$14.99</x:v>
      </x:c>
      <x:c r="V11" s="52" t="str">
        <x:v>Soft chamomile smooths out the lemon's acidity, creating a gentler herbal-citrus shot with a calm, tea-like finish.</x:v>
      </x:c>
      <x:c r="W11" s="52" t="str">
        <x:v>https://greenrevolution.com/products/beverages/</x:v>
      </x:c>
      <x:c r="X11" t="str">
        <x:v>Volume</x:v>
      </x:c>
      <x:c r="Y11" s="67" t="n">
        <x:v>2</x:v>
      </x:c>
      <x:c r="Z11" t="str">
        <x:v>fl oz</x:v>
      </x:c>
      <x:c r="AA11" s="68" t="n">
        <x:f>IF(ISNUMBER(Y11),ROUNDDOWN(Y11*29.5735295625,0),"")</x:f>
        <x:v>59</x:v>
      </x:c>
      <x:c r="AB11" t="str">
        <x:v>mL</x:v>
      </x:c>
      <x:c r="AC11" s="67" t="n">
        <x:f>IF(AND(ISNUMBER(AA11),ISNUMBER(T11),T11&gt;0),AA11/T11,"")</x:f>
        <x:v>5.9</x:v>
      </x:c>
      <x:c r="AD11" s="43" t="str">
        <x:v>Catalog-declared size; normalized to fluid volume</x:v>
      </x:c>
      <x:c r="AE11" s="43" t="str">
        <x:v>https://greenrevolution.com/products/beverages/</x:v>
      </x:c>
      <x:c r="AF11" t="str">
        <x:f>"Net Vol. "&amp;TEXT(Y11,"0.##")&amp;" fl oz ("&amp;TEXT(AA11,"0.#")&amp;" mL)"</x:f>
        <x:v>Net Vol. 2. fl oz (59. mL)</x:v>
      </x:c>
      <x:c r="AG11" s="67" t="n">
        <x:f>IF(AND(ISNUMBER(Y11),ISNUMBER(T11),T11&gt;0),Y11/T11,"")</x:f>
        <x:v>0.2</x:v>
      </x:c>
      <x:c r="AH11" t="str">
        <x:f>IF(AG11="","",TEXT(AG11,"0.##")&amp;" fl oz ("&amp;TEXT(AC11,"0.#")&amp;" mL)")</x:f>
        <x:v>0.2 fl oz (5.9 mL)</x:v>
      </x:c>
      <x:c r="AI11" s="43" t="str">
        <x:v>Multi-serving liquid: resealable closure/cap + measuring device or package markings required</x:v>
      </x:c>
      <x:c r="AJ11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2" s="20" customFormat="1" ht="34" customHeight="1">
      <x:c r="A12" s="58" t="str">
        <x:v>Sungaze</x:v>
      </x:c>
      <x:c r="B12" s="58" t="str">
        <x:v>Strawberry Citrus 12 oz</x:v>
      </x:c>
      <x:c r="C12" s="58" t="str">
        <x:v>Strawberry Citrus</x:v>
      </x:c>
      <x:c r="D12" s="58" t="str">
        <x:v>Blend</x:v>
      </x:c>
      <x:c r="E12" s="58" t="str">
        <x:v>Holistic</x:v>
      </x:c>
      <x:c r="F12" s="58" t="str">
        <x:v>Seltzer</x:v>
      </x:c>
      <x:c r="G12" s="59" t="str">
        <x:v>12 oz</x:v>
      </x:c>
      <x:c r="H12" s="59" t="str">
        <x:v>THC:CBD</x:v>
      </x:c>
      <x:c r="I12" s="58" t="str">
        <x:v>1:2</x:v>
      </x:c>
      <x:c r="J12" s="60" t="n">
        <x:v>2.5</x:v>
      </x:c>
      <x:c r="K12" s="60" t="n">
        <x:f>J12*$T12</x:f>
        <x:v>2.5</x:v>
      </x:c>
      <x:c r="L12" s="60" t="n">
        <x:v>5</x:v>
      </x:c>
      <x:c r="M12" s="60" t="n">
        <x:f>L12*$T12</x:f>
        <x:v>5</x:v>
      </x:c>
      <x:c r="N12" s="60" t="n">
        <x:v>0</x:v>
      </x:c>
      <x:c r="O12" s="60" t="n">
        <x:f>N12*$T12</x:f>
        <x:v>0</x:v>
      </x:c>
      <x:c r="P12" s="60" t="n">
        <x:v>0</x:v>
      </x:c>
      <x:c r="Q12" s="60" t="n">
        <x:f>P12*$T12</x:f>
        <x:v>0</x:v>
      </x:c>
      <x:c r="R12" s="60" t="n">
        <x:v>0</x:v>
      </x:c>
      <x:c r="S12" s="60" t="n">
        <x:f>R12*$T12</x:f>
        <x:v>0</x:v>
      </x:c>
      <x:c r="T12" s="61" t="n">
        <x:v>1</x:v>
      </x:c>
      <x:c r="U12" s="58" t="str">
        <x:v>$5.99</x:v>
      </x:c>
      <x:c r="V12" s="52" t="str">
        <x:v>Fresh strawberry adds just enough sweetness to a crisp citrus seltzer, keeping the can light and easy to sip.</x:v>
      </x:c>
      <x:c r="W12" s="52" t="str">
        <x:v>https://www.drinksungaze.com/find-sungaze</x:v>
      </x:c>
      <x:c r="X12" t="str">
        <x:v>Volume</x:v>
      </x:c>
      <x:c r="Y12" s="67" t="n">
        <x:v>12</x:v>
      </x:c>
      <x:c r="Z12" t="str">
        <x:v>fl oz</x:v>
      </x:c>
      <x:c r="AA12" s="68" t="n">
        <x:f>IF(ISNUMBER(Y12),ROUNDDOWN(Y12*29.5735295625,0),"")</x:f>
        <x:v>354</x:v>
      </x:c>
      <x:c r="AB12" t="str">
        <x:v>mL</x:v>
      </x:c>
      <x:c r="AC12" s="67" t="n">
        <x:f>IF(AND(ISNUMBER(AA12),ISNUMBER(T12),T12&gt;0),AA12/T12,"")</x:f>
        <x:v>354</x:v>
      </x:c>
      <x:c r="AD12" s="43" t="str">
        <x:v>Catalog-declared size; normalized to fluid volume</x:v>
      </x:c>
      <x:c r="AE12" s="43" t="str">
        <x:v>https://www.drinksungaze.com/find-sungaze</x:v>
      </x:c>
      <x:c r="AF12" t="str">
        <x:f>"Net Vol. "&amp;TEXT(Y12,"0.##")&amp;" fl oz ("&amp;TEXT(AA12,"0.#")&amp;" mL)"</x:f>
        <x:v>Net Vol. 12. fl oz (354. mL)</x:v>
      </x:c>
      <x:c r="AG12" s="67" t="n">
        <x:f>IF(AND(ISNUMBER(Y12),ISNUMBER(T12),T12&gt;0),Y12/T12,"")</x:f>
        <x:v>12</x:v>
      </x:c>
      <x:c r="AH12" t="str">
        <x:f>IF(AG12="","",TEXT(AG12,"0.##")&amp;" fl oz ("&amp;TEXT(AC12,"0.#")&amp;" mL)")</x:f>
        <x:v>12. fl oz (354. mL)</x:v>
      </x:c>
      <x:c r="AI12" s="43" t="str">
        <x:v>Single-serving liquid</x:v>
      </x:c>
      <x:c r="AJ12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3" s="20" customFormat="1" ht="34" customHeight="1">
      <x:c r="A13" s="58" t="str">
        <x:v>Sungaze</x:v>
      </x:c>
      <x:c r="B13" s="58" t="str">
        <x:v>Lime Agave 12 oz</x:v>
      </x:c>
      <x:c r="C13" s="58" t="str">
        <x:v>Lime Agave</x:v>
      </x:c>
      <x:c r="D13" s="58" t="str">
        <x:v>Blend</x:v>
      </x:c>
      <x:c r="E13" s="58" t="str">
        <x:v>Holistic</x:v>
      </x:c>
      <x:c r="F13" s="58" t="str">
        <x:v>Seltzer</x:v>
      </x:c>
      <x:c r="G13" s="59" t="str">
        <x:v>12 oz</x:v>
      </x:c>
      <x:c r="H13" s="59" t="str">
        <x:v>THC:CBD</x:v>
      </x:c>
      <x:c r="I13" s="58" t="str">
        <x:v>1:2</x:v>
      </x:c>
      <x:c r="J13" s="60" t="n">
        <x:v>2.5</x:v>
      </x:c>
      <x:c r="K13" s="60" t="n">
        <x:f>J13*$T13</x:f>
        <x:v>2.5</x:v>
      </x:c>
      <x:c r="L13" s="60" t="n">
        <x:v>5</x:v>
      </x:c>
      <x:c r="M13" s="60" t="n">
        <x:f>L13*$T13</x:f>
        <x:v>5</x:v>
      </x:c>
      <x:c r="N13" s="60" t="n">
        <x:v>0</x:v>
      </x:c>
      <x:c r="O13" s="60" t="n">
        <x:f>N13*$T13</x:f>
        <x:v>0</x:v>
      </x:c>
      <x:c r="P13" s="60" t="n">
        <x:v>0</x:v>
      </x:c>
      <x:c r="Q13" s="60" t="n">
        <x:f>P13*$T13</x:f>
        <x:v>0</x:v>
      </x:c>
      <x:c r="R13" s="60" t="n">
        <x:v>0</x:v>
      </x:c>
      <x:c r="S13" s="60" t="n">
        <x:f>R13*$T13</x:f>
        <x:v>0</x:v>
      </x:c>
      <x:c r="T13" s="61" t="n">
        <x:v>1</x:v>
      </x:c>
      <x:c r="U13" s="58" t="str">
        <x:v>$5.99</x:v>
      </x:c>
      <x:c r="V13" s="52" t="str">
        <x:v>Clean lime acidity is rounded by a touch of agave, giving this sparkling seltzer a simple margarita-adjacent profile.</x:v>
      </x:c>
      <x:c r="W13" s="52" t="str">
        <x:v>https://www.drinksungaze.com/find-sungaze</x:v>
      </x:c>
      <x:c r="X13" t="str">
        <x:v>Volume</x:v>
      </x:c>
      <x:c r="Y13" s="67" t="n">
        <x:v>12</x:v>
      </x:c>
      <x:c r="Z13" t="str">
        <x:v>fl oz</x:v>
      </x:c>
      <x:c r="AA13" s="68" t="n">
        <x:f>IF(ISNUMBER(Y13),ROUNDDOWN(Y13*29.5735295625,0),"")</x:f>
        <x:v>354</x:v>
      </x:c>
      <x:c r="AB13" t="str">
        <x:v>mL</x:v>
      </x:c>
      <x:c r="AC13" s="67" t="n">
        <x:f>IF(AND(ISNUMBER(AA13),ISNUMBER(T13),T13&gt;0),AA13/T13,"")</x:f>
        <x:v>354</x:v>
      </x:c>
      <x:c r="AD13" s="43" t="str">
        <x:v>Catalog-declared size; normalized to fluid volume</x:v>
      </x:c>
      <x:c r="AE13" s="43" t="str">
        <x:v>https://www.drinksungaze.com/find-sungaze</x:v>
      </x:c>
      <x:c r="AF13" t="str">
        <x:f>"Net Vol. "&amp;TEXT(Y13,"0.##")&amp;" fl oz ("&amp;TEXT(AA13,"0.#")&amp;" mL)"</x:f>
        <x:v>Net Vol. 12. fl oz (354. mL)</x:v>
      </x:c>
      <x:c r="AG13" s="67" t="n">
        <x:f>IF(AND(ISNUMBER(Y13),ISNUMBER(T13),T13&gt;0),Y13/T13,"")</x:f>
        <x:v>12</x:v>
      </x:c>
      <x:c r="AH13" t="str">
        <x:f>IF(AG13="","",TEXT(AG13,"0.##")&amp;" fl oz ("&amp;TEXT(AC13,"0.#")&amp;" mL)")</x:f>
        <x:v>12. fl oz (354. mL)</x:v>
      </x:c>
      <x:c r="AI13" s="43" t="str">
        <x:v>Single-serving liquid</x:v>
      </x:c>
      <x:c r="AJ13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4" s="20" customFormat="1" ht="34" customHeight="1">
      <x:c r="A14" s="58" t="str">
        <x:v>Sungaze</x:v>
      </x:c>
      <x:c r="B14" s="58" t="str">
        <x:v>Lemon Ginger 12 oz</x:v>
      </x:c>
      <x:c r="C14" s="58" t="str">
        <x:v>Lemon Ginger</x:v>
      </x:c>
      <x:c r="D14" s="58" t="str">
        <x:v>Blend</x:v>
      </x:c>
      <x:c r="E14" s="58" t="str">
        <x:v>Holistic</x:v>
      </x:c>
      <x:c r="F14" s="58" t="str">
        <x:v>Seltzer</x:v>
      </x:c>
      <x:c r="G14" s="59" t="str">
        <x:v>12 oz</x:v>
      </x:c>
      <x:c r="H14" s="59" t="str">
        <x:v>THC:CBD</x:v>
      </x:c>
      <x:c r="I14" s="58" t="str">
        <x:v>1:2</x:v>
      </x:c>
      <x:c r="J14" s="60" t="n">
        <x:v>2.5</x:v>
      </x:c>
      <x:c r="K14" s="60" t="n">
        <x:f>J14*$T14</x:f>
        <x:v>2.5</x:v>
      </x:c>
      <x:c r="L14" s="60" t="n">
        <x:v>5</x:v>
      </x:c>
      <x:c r="M14" s="60" t="n">
        <x:f>L14*$T14</x:f>
        <x:v>5</x:v>
      </x:c>
      <x:c r="N14" s="60" t="n">
        <x:v>0</x:v>
      </x:c>
      <x:c r="O14" s="60" t="n">
        <x:f>N14*$T14</x:f>
        <x:v>0</x:v>
      </x:c>
      <x:c r="P14" s="60" t="n">
        <x:v>0</x:v>
      </x:c>
      <x:c r="Q14" s="60" t="n">
        <x:f>P14*$T14</x:f>
        <x:v>0</x:v>
      </x:c>
      <x:c r="R14" s="60" t="n">
        <x:v>0</x:v>
      </x:c>
      <x:c r="S14" s="60" t="n">
        <x:f>R14*$T14</x:f>
        <x:v>0</x:v>
      </x:c>
      <x:c r="T14" s="61" t="n">
        <x:v>1</x:v>
      </x:c>
      <x:c r="U14" s="58" t="str">
        <x:v>$5.99</x:v>
      </x:c>
      <x:c r="V14" s="52" t="str">
        <x:v>Lemon keeps the can bright while ginger adds a dry little kick that lingers after the bubbles fade, shaped to Sungaze's seltzer style.</x:v>
      </x:c>
      <x:c r="W14" s="52" t="str">
        <x:v>https://www.drinksungaze.com/find-sungaze</x:v>
      </x:c>
      <x:c r="X14" t="str">
        <x:v>Volume</x:v>
      </x:c>
      <x:c r="Y14" s="67" t="n">
        <x:v>12</x:v>
      </x:c>
      <x:c r="Z14" t="str">
        <x:v>fl oz</x:v>
      </x:c>
      <x:c r="AA14" s="68" t="n">
        <x:f>IF(ISNUMBER(Y14),ROUNDDOWN(Y14*29.5735295625,0),"")</x:f>
        <x:v>354</x:v>
      </x:c>
      <x:c r="AB14" t="str">
        <x:v>mL</x:v>
      </x:c>
      <x:c r="AC14" s="67" t="n">
        <x:f>IF(AND(ISNUMBER(AA14),ISNUMBER(T14),T14&gt;0),AA14/T14,"")</x:f>
        <x:v>354</x:v>
      </x:c>
      <x:c r="AD14" s="43" t="str">
        <x:v>Catalog-declared size; normalized to fluid volume</x:v>
      </x:c>
      <x:c r="AE14" s="43" t="str">
        <x:v>https://www.drinksungaze.com/find-sungaze</x:v>
      </x:c>
      <x:c r="AF14" t="str">
        <x:f>"Net Vol. "&amp;TEXT(Y14,"0.##")&amp;" fl oz ("&amp;TEXT(AA14,"0.#")&amp;" mL)"</x:f>
        <x:v>Net Vol. 12. fl oz (354. mL)</x:v>
      </x:c>
      <x:c r="AG14" s="67" t="n">
        <x:f>IF(AND(ISNUMBER(Y14),ISNUMBER(T14),T14&gt;0),Y14/T14,"")</x:f>
        <x:v>12</x:v>
      </x:c>
      <x:c r="AH14" t="str">
        <x:f>IF(AG14="","",TEXT(AG14,"0.##")&amp;" fl oz ("&amp;TEXT(AC14,"0.#")&amp;" mL)")</x:f>
        <x:v>12. fl oz (354. mL)</x:v>
      </x:c>
      <x:c r="AI14" s="43" t="str">
        <x:v>Single-serving liquid</x:v>
      </x:c>
      <x:c r="AJ14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5" s="20" customFormat="1" ht="34" customHeight="1">
      <x:c r="A15" s="58" t="str">
        <x:v>Sungaze</x:v>
      </x:c>
      <x:c r="B15" s="58" t="str">
        <x:v>Strawberry Citrus Supernova 16 oz</x:v>
      </x:c>
      <x:c r="C15" s="58" t="str">
        <x:v>Strawberry Citrus</x:v>
      </x:c>
      <x:c r="D15" s="58" t="str">
        <x:v>Blend</x:v>
      </x:c>
      <x:c r="E15" s="58" t="str">
        <x:v>Hybrid</x:v>
      </x:c>
      <x:c r="F15" s="58" t="str">
        <x:v>Seltzer</x:v>
      </x:c>
      <x:c r="G15" s="59" t="str">
        <x:v>16 oz</x:v>
      </x:c>
      <x:c r="H15" s="59" t="str">
        <x:v>THC:CBD</x:v>
      </x:c>
      <x:c r="I15" s="58" t="str">
        <x:v>2:1</x:v>
      </x:c>
      <x:c r="J15" s="60" t="n">
        <x:v>10</x:v>
      </x:c>
      <x:c r="K15" s="60" t="n">
        <x:f>J15*$T15</x:f>
        <x:v>10</x:v>
      </x:c>
      <x:c r="L15" s="60" t="n">
        <x:v>5</x:v>
      </x:c>
      <x:c r="M15" s="60" t="n">
        <x:f>L15*$T15</x:f>
        <x:v>5</x:v>
      </x:c>
      <x:c r="N15" s="60" t="n">
        <x:v>0</x:v>
      </x:c>
      <x:c r="O15" s="60" t="n">
        <x:f>N15*$T15</x:f>
        <x:v>0</x:v>
      </x:c>
      <x:c r="P15" s="60" t="n">
        <x:v>0</x:v>
      </x:c>
      <x:c r="Q15" s="60" t="n">
        <x:f>P15*$T15</x:f>
        <x:v>0</x:v>
      </x:c>
      <x:c r="R15" s="60" t="n">
        <x:v>0</x:v>
      </x:c>
      <x:c r="S15" s="60" t="n">
        <x:f>R15*$T15</x:f>
        <x:v>0</x:v>
      </x:c>
      <x:c r="T15" s="61" t="n">
        <x:v>1</x:v>
      </x:c>
      <x:c r="U15" s="58" t="str">
        <x:v>$7.99</x:v>
      </x:c>
      <x:c r="V15" s="52" t="str">
        <x:v>The larger Supernova format pushes ripe strawberry a little harder while citrus and carbonation keep it refreshing.</x:v>
      </x:c>
      <x:c r="W15" s="52" t="str">
        <x:v>https://www.drinksungaze.com/find-sungaze</x:v>
      </x:c>
      <x:c r="X15" t="str">
        <x:v>Volume</x:v>
      </x:c>
      <x:c r="Y15" s="67" t="n">
        <x:v>16</x:v>
      </x:c>
      <x:c r="Z15" t="str">
        <x:v>fl oz</x:v>
      </x:c>
      <x:c r="AA15" s="68" t="n">
        <x:f>IF(ISNUMBER(Y15),ROUNDDOWN(Y15*29.5735295625,0),"")</x:f>
        <x:v>473</x:v>
      </x:c>
      <x:c r="AB15" t="str">
        <x:v>mL</x:v>
      </x:c>
      <x:c r="AC15" s="67" t="n">
        <x:f>IF(AND(ISNUMBER(AA15),ISNUMBER(T15),T15&gt;0),AA15/T15,"")</x:f>
        <x:v>473</x:v>
      </x:c>
      <x:c r="AD15" s="43" t="str">
        <x:v>Catalog-declared size; normalized to fluid volume</x:v>
      </x:c>
      <x:c r="AE15" s="43" t="str">
        <x:v>https://www.drinksungaze.com/find-sungaze</x:v>
      </x:c>
      <x:c r="AF15" t="str">
        <x:f>"Net Vol. "&amp;TEXT(Y15,"0.##")&amp;" fl oz ("&amp;TEXT(AA15,"0.#")&amp;" mL)"</x:f>
        <x:v>Net Vol. 16. fl oz (473. mL)</x:v>
      </x:c>
      <x:c r="AG15" s="67" t="n">
        <x:f>IF(AND(ISNUMBER(Y15),ISNUMBER(T15),T15&gt;0),Y15/T15,"")</x:f>
        <x:v>16</x:v>
      </x:c>
      <x:c r="AH15" t="str">
        <x:f>IF(AG15="","",TEXT(AG15,"0.##")&amp;" fl oz ("&amp;TEXT(AC15,"0.#")&amp;" mL)")</x:f>
        <x:v>16. fl oz (473. mL)</x:v>
      </x:c>
      <x:c r="AI15" s="43" t="str">
        <x:v>Single-serving liquid</x:v>
      </x:c>
      <x:c r="AJ15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6" s="20" customFormat="1" ht="34" customHeight="1">
      <x:c r="A16" s="58" t="str">
        <x:v>Sungaze</x:v>
      </x:c>
      <x:c r="B16" s="58" t="str">
        <x:v>Lime Agave Supernova 16 oz</x:v>
      </x:c>
      <x:c r="C16" s="58" t="str">
        <x:v>Lime Agave</x:v>
      </x:c>
      <x:c r="D16" s="58" t="str">
        <x:v>Blend</x:v>
      </x:c>
      <x:c r="E16" s="58" t="str">
        <x:v>Sativa</x:v>
      </x:c>
      <x:c r="F16" s="58" t="str">
        <x:v>Seltzer</x:v>
      </x:c>
      <x:c r="G16" s="59" t="str">
        <x:v>16 oz</x:v>
      </x:c>
      <x:c r="H16" s="59" t="str">
        <x:v>THC:CBD</x:v>
      </x:c>
      <x:c r="I16" s="58" t="str">
        <x:v>2:1</x:v>
      </x:c>
      <x:c r="J16" s="60" t="n">
        <x:v>10</x:v>
      </x:c>
      <x:c r="K16" s="60" t="n">
        <x:f>J16*$T16</x:f>
        <x:v>10</x:v>
      </x:c>
      <x:c r="L16" s="60" t="n">
        <x:v>5</x:v>
      </x:c>
      <x:c r="M16" s="60" t="n">
        <x:f>L16*$T16</x:f>
        <x:v>5</x:v>
      </x:c>
      <x:c r="N16" s="60" t="n">
        <x:v>0</x:v>
      </x:c>
      <x:c r="O16" s="60" t="n">
        <x:f>N16*$T16</x:f>
        <x:v>0</x:v>
      </x:c>
      <x:c r="P16" s="60" t="n">
        <x:v>0</x:v>
      </x:c>
      <x:c r="Q16" s="60" t="n">
        <x:f>P16*$T16</x:f>
        <x:v>0</x:v>
      </x:c>
      <x:c r="R16" s="60" t="n">
        <x:v>0</x:v>
      </x:c>
      <x:c r="S16" s="60" t="n">
        <x:f>R16*$T16</x:f>
        <x:v>0</x:v>
      </x:c>
      <x:c r="T16" s="61" t="n">
        <x:v>1</x:v>
      </x:c>
      <x:c r="U16" s="58" t="str">
        <x:v>$7.99</x:v>
      </x:c>
      <x:c r="V16" s="52" t="str">
        <x:v>Zesty lime leads this bigger can, with subtle agave sweetness balancing the sharper citrus and sparkling finish.</x:v>
      </x:c>
      <x:c r="W16" s="52" t="str">
        <x:v>https://www.drinksungaze.com/find-sungaze</x:v>
      </x:c>
      <x:c r="X16" t="str">
        <x:v>Volume</x:v>
      </x:c>
      <x:c r="Y16" s="67" t="n">
        <x:v>16</x:v>
      </x:c>
      <x:c r="Z16" t="str">
        <x:v>fl oz</x:v>
      </x:c>
      <x:c r="AA16" s="68" t="n">
        <x:f>IF(ISNUMBER(Y16),ROUNDDOWN(Y16*29.5735295625,0),"")</x:f>
        <x:v>473</x:v>
      </x:c>
      <x:c r="AB16" t="str">
        <x:v>mL</x:v>
      </x:c>
      <x:c r="AC16" s="67" t="n">
        <x:f>IF(AND(ISNUMBER(AA16),ISNUMBER(T16),T16&gt;0),AA16/T16,"")</x:f>
        <x:v>473</x:v>
      </x:c>
      <x:c r="AD16" s="43" t="str">
        <x:v>Catalog-declared size; normalized to fluid volume</x:v>
      </x:c>
      <x:c r="AE16" s="43" t="str">
        <x:v>https://www.drinksungaze.com/find-sungaze</x:v>
      </x:c>
      <x:c r="AF16" t="str">
        <x:f>"Net Vol. "&amp;TEXT(Y16,"0.##")&amp;" fl oz ("&amp;TEXT(AA16,"0.#")&amp;" mL)"</x:f>
        <x:v>Net Vol. 16. fl oz (473. mL)</x:v>
      </x:c>
      <x:c r="AG16" s="67" t="n">
        <x:f>IF(AND(ISNUMBER(Y16),ISNUMBER(T16),T16&gt;0),Y16/T16,"")</x:f>
        <x:v>16</x:v>
      </x:c>
      <x:c r="AH16" t="str">
        <x:f>IF(AG16="","",TEXT(AG16,"0.##")&amp;" fl oz ("&amp;TEXT(AC16,"0.#")&amp;" mL)")</x:f>
        <x:v>16. fl oz (473. mL)</x:v>
      </x:c>
      <x:c r="AI16" s="43" t="str">
        <x:v>Single-serving liquid</x:v>
      </x:c>
      <x:c r="AJ16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7" s="20" customFormat="1" ht="34" customHeight="1">
      <x:c r="A17" s="58" t="str">
        <x:v>Sungaze</x:v>
      </x:c>
      <x:c r="B17" s="58" t="str">
        <x:v>Lemon Ginger Supernova 16 oz</x:v>
      </x:c>
      <x:c r="C17" s="58" t="str">
        <x:v>Lemon Ginger</x:v>
      </x:c>
      <x:c r="D17" s="58" t="str">
        <x:v>Blend</x:v>
      </x:c>
      <x:c r="E17" s="58" t="str">
        <x:v>Sativa Hybrid</x:v>
      </x:c>
      <x:c r="F17" s="58" t="str">
        <x:v>Seltzer</x:v>
      </x:c>
      <x:c r="G17" s="59" t="str">
        <x:v>16 oz</x:v>
      </x:c>
      <x:c r="H17" s="59" t="str">
        <x:v>THC:CBD</x:v>
      </x:c>
      <x:c r="I17" s="58" t="str">
        <x:v>2:1</x:v>
      </x:c>
      <x:c r="J17" s="60" t="n">
        <x:v>10</x:v>
      </x:c>
      <x:c r="K17" s="60" t="n">
        <x:f>J17*$T17</x:f>
        <x:v>10</x:v>
      </x:c>
      <x:c r="L17" s="60" t="n">
        <x:v>5</x:v>
      </x:c>
      <x:c r="M17" s="60" t="n">
        <x:f>L17*$T17</x:f>
        <x:v>5</x:v>
      </x:c>
      <x:c r="N17" s="60" t="n">
        <x:v>0</x:v>
      </x:c>
      <x:c r="O17" s="60" t="n">
        <x:f>N17*$T17</x:f>
        <x:v>0</x:v>
      </x:c>
      <x:c r="P17" s="60" t="n">
        <x:v>0</x:v>
      </x:c>
      <x:c r="Q17" s="60" t="n">
        <x:f>P17*$T17</x:f>
        <x:v>0</x:v>
      </x:c>
      <x:c r="R17" s="60" t="n">
        <x:v>0</x:v>
      </x:c>
      <x:c r="S17" s="60" t="n">
        <x:f>R17*$T17</x:f>
        <x:v>0</x:v>
      </x:c>
      <x:c r="T17" s="61" t="n">
        <x:v>1</x:v>
      </x:c>
      <x:c r="U17" s="58" t="str">
        <x:v>$7.99</x:v>
      </x:c>
      <x:c r="V17" s="52" t="str">
        <x:v>A bigger pour of lemon and ginger stays crisp and lightly spicy, with enough carbonation to keep the stronger format refreshing.</x:v>
      </x:c>
      <x:c r="W17" s="52" t="str">
        <x:v>https://www.drinksungaze.com/find-sungaze</x:v>
      </x:c>
      <x:c r="X17" t="str">
        <x:v>Volume</x:v>
      </x:c>
      <x:c r="Y17" s="67" t="n">
        <x:v>16</x:v>
      </x:c>
      <x:c r="Z17" t="str">
        <x:v>fl oz</x:v>
      </x:c>
      <x:c r="AA17" s="68" t="n">
        <x:f>IF(ISNUMBER(Y17),ROUNDDOWN(Y17*29.5735295625,0),"")</x:f>
        <x:v>473</x:v>
      </x:c>
      <x:c r="AB17" t="str">
        <x:v>mL</x:v>
      </x:c>
      <x:c r="AC17" s="67" t="n">
        <x:f>IF(AND(ISNUMBER(AA17),ISNUMBER(T17),T17&gt;0),AA17/T17,"")</x:f>
        <x:v>473</x:v>
      </x:c>
      <x:c r="AD17" s="43" t="str">
        <x:v>Catalog-declared size; normalized to fluid volume</x:v>
      </x:c>
      <x:c r="AE17" s="43" t="str">
        <x:v>https://www.drinksungaze.com/find-sungaze</x:v>
      </x:c>
      <x:c r="AF17" t="str">
        <x:f>"Net Vol. "&amp;TEXT(Y17,"0.##")&amp;" fl oz ("&amp;TEXT(AA17,"0.#")&amp;" mL)"</x:f>
        <x:v>Net Vol. 16. fl oz (473. mL)</x:v>
      </x:c>
      <x:c r="AG17" s="67" t="n">
        <x:f>IF(AND(ISNUMBER(Y17),ISNUMBER(T17),T17&gt;0),Y17/T17,"")</x:f>
        <x:v>16</x:v>
      </x:c>
      <x:c r="AH17" t="str">
        <x:f>IF(AG17="","",TEXT(AG17,"0.##")&amp;" fl oz ("&amp;TEXT(AC17,"0.#")&amp;" mL)")</x:f>
        <x:v>16. fl oz (473. mL)</x:v>
      </x:c>
      <x:c r="AI17" s="43" t="str">
        <x:v>Single-serving liquid</x:v>
      </x:c>
      <x:c r="AJ17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8" s="20" customFormat="1" ht="34" customHeight="1">
      <x:c r="A18" s="58" t="str">
        <x:v>Sungaze</x:v>
      </x:c>
      <x:c r="B18" s="58" t="str">
        <x:v>Ruby Grapefruit 12 oz</x:v>
      </x:c>
      <x:c r="C18" s="58" t="str">
        <x:v>Ruby Grapefruit</x:v>
      </x:c>
      <x:c r="D18" s="58" t="str">
        <x:v>THC Only</x:v>
      </x:c>
      <x:c r="E18" s="58" t="str">
        <x:v>Sativa</x:v>
      </x:c>
      <x:c r="F18" s="58" t="str">
        <x:v>Seltzer</x:v>
      </x:c>
      <x:c r="G18" s="59" t="str">
        <x:v>12 oz</x:v>
      </x:c>
      <x:c r="H18" s="59" t="str">
        <x:v>THC Only</x:v>
      </x:c>
      <x:c r="I18" s="58"/>
      <x:c r="J18" s="60" t="n">
        <x:v>5</x:v>
      </x:c>
      <x:c r="K18" s="60" t="n">
        <x:f>J18*$T18</x:f>
        <x:v>5</x:v>
      </x:c>
      <x:c r="L18" s="60" t="n">
        <x:v>0</x:v>
      </x:c>
      <x:c r="M18" s="60" t="n">
        <x:f>L18*$T18</x:f>
        <x:v>0</x:v>
      </x:c>
      <x:c r="N18" s="60" t="n">
        <x:v>0</x:v>
      </x:c>
      <x:c r="O18" s="60" t="n">
        <x:f>N18*$T18</x:f>
        <x:v>0</x:v>
      </x:c>
      <x:c r="P18" s="60" t="n">
        <x:v>0</x:v>
      </x:c>
      <x:c r="Q18" s="60" t="n">
        <x:f>P18*$T18</x:f>
        <x:v>0</x:v>
      </x:c>
      <x:c r="R18" s="60" t="n">
        <x:v>0</x:v>
      </x:c>
      <x:c r="S18" s="60" t="n">
        <x:f>R18*$T18</x:f>
        <x:v>0</x:v>
      </x:c>
      <x:c r="T18" s="61" t="n">
        <x:v>1</x:v>
      </x:c>
      <x:c r="U18" s="58" t="str">
        <x:v>$5.99</x:v>
      </x:c>
      <x:c r="V18" s="52" t="str">
        <x:v>Ruby grapefruit gives this seltzer a dry, tart character with just enough fruit sweetness to soften the citrus bite.</x:v>
      </x:c>
      <x:c r="W18" s="52" t="str">
        <x:v>https://www.drinksungaze.com/find-sungaze</x:v>
      </x:c>
      <x:c r="X18" t="str">
        <x:v>Volume</x:v>
      </x:c>
      <x:c r="Y18" s="67" t="n">
        <x:v>12</x:v>
      </x:c>
      <x:c r="Z18" t="str">
        <x:v>fl oz</x:v>
      </x:c>
      <x:c r="AA18" s="68" t="n">
        <x:f>IF(ISNUMBER(Y18),ROUNDDOWN(Y18*29.5735295625,0),"")</x:f>
        <x:v>354</x:v>
      </x:c>
      <x:c r="AB18" t="str">
        <x:v>mL</x:v>
      </x:c>
      <x:c r="AC18" s="67" t="n">
        <x:f>IF(AND(ISNUMBER(AA18),ISNUMBER(T18),T18&gt;0),AA18/T18,"")</x:f>
        <x:v>354</x:v>
      </x:c>
      <x:c r="AD18" s="43" t="str">
        <x:v>Catalog-declared size; normalized to fluid volume</x:v>
      </x:c>
      <x:c r="AE18" s="43" t="str">
        <x:v>https://www.drinksungaze.com/find-sungaze</x:v>
      </x:c>
      <x:c r="AF18" t="str">
        <x:f>"Net Vol. "&amp;TEXT(Y18,"0.##")&amp;" fl oz ("&amp;TEXT(AA18,"0.#")&amp;" mL)"</x:f>
        <x:v>Net Vol. 12. fl oz (354. mL)</x:v>
      </x:c>
      <x:c r="AG18" s="67" t="n">
        <x:f>IF(AND(ISNUMBER(Y18),ISNUMBER(T18),T18&gt;0),Y18/T18,"")</x:f>
        <x:v>12</x:v>
      </x:c>
      <x:c r="AH18" t="str">
        <x:f>IF(AG18="","",TEXT(AG18,"0.##")&amp;" fl oz ("&amp;TEXT(AC18,"0.#")&amp;" mL)")</x:f>
        <x:v>12. fl oz (354. mL)</x:v>
      </x:c>
      <x:c r="AI18" s="43" t="str">
        <x:v>Single-serving liquid</x:v>
      </x:c>
      <x:c r="AJ18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19" s="20" customFormat="1" ht="34" customHeight="1">
      <x:c r="A19" s="58" t="str">
        <x:v>Sungaze</x:v>
      </x:c>
      <x:c r="B19" s="58" t="str">
        <x:v>Cucumber Lime 12 oz</x:v>
      </x:c>
      <x:c r="C19" s="58" t="str">
        <x:v>Cucumber Lime</x:v>
      </x:c>
      <x:c r="D19" s="58" t="str">
        <x:v>CBD</x:v>
      </x:c>
      <x:c r="E19" s="58" t="str">
        <x:v>Holistic</x:v>
      </x:c>
      <x:c r="F19" s="58" t="str">
        <x:v>Seltzer</x:v>
      </x:c>
      <x:c r="G19" s="59" t="str">
        <x:v>12 oz</x:v>
      </x:c>
      <x:c r="H19" s="59" t="str">
        <x:v>CBD Only</x:v>
      </x:c>
      <x:c r="I19" s="58"/>
      <x:c r="J19" s="60" t="n">
        <x:v>0</x:v>
      </x:c>
      <x:c r="K19" s="60" t="n">
        <x:f>J19*$T19</x:f>
        <x:v>0</x:v>
      </x:c>
      <x:c r="L19" s="60" t="n">
        <x:v>5</x:v>
      </x:c>
      <x:c r="M19" s="60" t="n">
        <x:f>L19*$T19</x:f>
        <x:v>5</x:v>
      </x:c>
      <x:c r="N19" s="60" t="n">
        <x:v>0</x:v>
      </x:c>
      <x:c r="O19" s="60" t="n">
        <x:f>N19*$T19</x:f>
        <x:v>0</x:v>
      </x:c>
      <x:c r="P19" s="60" t="n">
        <x:v>0</x:v>
      </x:c>
      <x:c r="Q19" s="60" t="n">
        <x:f>P19*$T19</x:f>
        <x:v>0</x:v>
      </x:c>
      <x:c r="R19" s="60" t="n">
        <x:v>0</x:v>
      </x:c>
      <x:c r="S19" s="60" t="n">
        <x:f>R19*$T19</x:f>
        <x:v>0</x:v>
      </x:c>
      <x:c r="T19" s="61" t="n">
        <x:v>1</x:v>
      </x:c>
      <x:c r="U19" s="58" t="str">
        <x:v>$5.49</x:v>
      </x:c>
      <x:c r="V19" s="52" t="str">
        <x:v>Cool cucumber and fresh lime make this the driest-feeling seltzer in the lineup, finishing clean and garden-crisp.</x:v>
      </x:c>
      <x:c r="W19" s="52" t="str">
        <x:v>https://www.drinksungaze.com/find-sungaze</x:v>
      </x:c>
      <x:c r="X19" t="str">
        <x:v>Volume</x:v>
      </x:c>
      <x:c r="Y19" s="67" t="n">
        <x:v>12</x:v>
      </x:c>
      <x:c r="Z19" t="str">
        <x:v>fl oz</x:v>
      </x:c>
      <x:c r="AA19" s="68" t="n">
        <x:f>IF(ISNUMBER(Y19),ROUNDDOWN(Y19*29.5735295625,0),"")</x:f>
        <x:v>354</x:v>
      </x:c>
      <x:c r="AB19" t="str">
        <x:v>mL</x:v>
      </x:c>
      <x:c r="AC19" s="67" t="n">
        <x:f>IF(AND(ISNUMBER(AA19),ISNUMBER(T19),T19&gt;0),AA19/T19,"")</x:f>
        <x:v>354</x:v>
      </x:c>
      <x:c r="AD19" s="43" t="str">
        <x:v>Catalog-declared size; normalized to fluid volume</x:v>
      </x:c>
      <x:c r="AE19" s="43" t="str">
        <x:v>https://www.drinksungaze.com/find-sungaze</x:v>
      </x:c>
      <x:c r="AF19" t="str">
        <x:f>"Net Vol. "&amp;TEXT(Y19,"0.##")&amp;" fl oz ("&amp;TEXT(AA19,"0.#")&amp;" mL)"</x:f>
        <x:v>Net Vol. 12. fl oz (354. mL)</x:v>
      </x:c>
      <x:c r="AG19" s="67" t="n">
        <x:f>IF(AND(ISNUMBER(Y19),ISNUMBER(T19),T19&gt;0),Y19/T19,"")</x:f>
        <x:v>12</x:v>
      </x:c>
      <x:c r="AH19" t="str">
        <x:f>IF(AG19="","",TEXT(AG19,"0.##")&amp;" fl oz ("&amp;TEXT(AC19,"0.#")&amp;" mL)")</x:f>
        <x:v>12. fl oz (354. mL)</x:v>
      </x:c>
      <x:c r="AI19" s="43" t="str">
        <x:v>Single-serving liquid</x:v>
      </x:c>
      <x:c r="AJ19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0" s="20" customFormat="1" ht="34" customHeight="1">
      <x:c r="A20" s="58" t="str">
        <x:v>Major</x:v>
      </x:c>
      <x:c r="B20" s="58" t="str">
        <x:v>Blackberry Lemonade Blast 2 oz</x:v>
      </x:c>
      <x:c r="C20" s="58" t="str">
        <x:v>Blackberry Lemonade</x:v>
      </x:c>
      <x:c r="D20" s="58" t="str">
        <x:v>THC Only</x:v>
      </x:c>
      <x:c r="E20" s="58" t="str">
        <x:v>Indica Hybrid</x:v>
      </x:c>
      <x:c r="F20" s="58" t="str">
        <x:v>Shot</x:v>
      </x:c>
      <x:c r="G20" s="59" t="str">
        <x:v>2 oz</x:v>
      </x:c>
      <x:c r="H20" s="59" t="str">
        <x:v>THC Only</x:v>
      </x:c>
      <x:c r="I20" s="58"/>
      <x:c r="J20" s="60" t="n">
        <x:v>10</x:v>
      </x:c>
      <x:c r="K20" s="60" t="n">
        <x:f>J20*$T20</x:f>
        <x:v>100</x:v>
      </x:c>
      <x:c r="L20" s="60" t="n">
        <x:v>0</x:v>
      </x:c>
      <x:c r="M20" s="60" t="n">
        <x:f>L20*$T20</x:f>
        <x:v>0</x:v>
      </x:c>
      <x:c r="N20" s="60" t="n">
        <x:v>0</x:v>
      </x:c>
      <x:c r="O20" s="60" t="n">
        <x:f>N20*$T20</x:f>
        <x:v>0</x:v>
      </x:c>
      <x:c r="P20" s="60" t="n">
        <x:v>0</x:v>
      </x:c>
      <x:c r="Q20" s="60" t="n">
        <x:f>P20*$T20</x:f>
        <x:v>0</x:v>
      </x:c>
      <x:c r="R20" s="60" t="n">
        <x:v>0</x:v>
      </x:c>
      <x:c r="S20" s="60" t="n">
        <x:f>R20*$T20</x:f>
        <x:v>0</x:v>
      </x:c>
      <x:c r="T20" s="61" t="n">
        <x:v>10</x:v>
      </x:c>
      <x:c r="U20" s="58" t="str">
        <x:v>$13.99</x:v>
      </x:c>
      <x:c r="V20" s="52" t="str">
        <x:v>Blackberry sweetness lands first, then lemonade acidity sharpens the finish in this small but intensely flavored shot.</x:v>
      </x:c>
      <x:c r="W20" s="52" t="str">
        <x:v>https://www.nevisbrands.com/major</x:v>
      </x:c>
      <x:c r="X20" t="str">
        <x:v>Volume</x:v>
      </x:c>
      <x:c r="Y20" s="67" t="n">
        <x:v>2</x:v>
      </x:c>
      <x:c r="Z20" t="str">
        <x:v>fl oz</x:v>
      </x:c>
      <x:c r="AA20" s="68" t="n">
        <x:f>IF(ISNUMBER(Y20),ROUNDDOWN(Y20*29.5735295625,0),"")</x:f>
        <x:v>59</x:v>
      </x:c>
      <x:c r="AB20" t="str">
        <x:v>mL</x:v>
      </x:c>
      <x:c r="AC20" s="67" t="n">
        <x:f>IF(AND(ISNUMBER(AA20),ISNUMBER(T20),T20&gt;0),AA20/T20,"")</x:f>
        <x:v>5.9</x:v>
      </x:c>
      <x:c r="AD20" s="43" t="str">
        <x:v>Catalog-declared size; normalized to fluid volume</x:v>
      </x:c>
      <x:c r="AE20" s="43" t="str">
        <x:v>https://www.nevisbrands.com/major</x:v>
      </x:c>
      <x:c r="AF20" t="str">
        <x:f>"Net Vol. "&amp;TEXT(Y20,"0.##")&amp;" fl oz ("&amp;TEXT(AA20,"0.#")&amp;" mL)"</x:f>
        <x:v>Net Vol. 2. fl oz (59. mL)</x:v>
      </x:c>
      <x:c r="AG20" s="67" t="n">
        <x:f>IF(AND(ISNUMBER(Y20),ISNUMBER(T20),T20&gt;0),Y20/T20,"")</x:f>
        <x:v>0.2</x:v>
      </x:c>
      <x:c r="AH20" t="str">
        <x:f>IF(AG20="","",TEXT(AG20,"0.##")&amp;" fl oz ("&amp;TEXT(AC20,"0.#")&amp;" mL)")</x:f>
        <x:v>0.2 fl oz (5.9 mL)</x:v>
      </x:c>
      <x:c r="AI20" s="43" t="str">
        <x:v>Multi-serving liquid: resealable closure/cap + measuring device or package markings required</x:v>
      </x:c>
      <x:c r="AJ20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1" s="20" customFormat="1" ht="34" customHeight="1">
      <x:c r="A21" s="58" t="str">
        <x:v>Major</x:v>
      </x:c>
      <x:c r="B21" s="58" t="str">
        <x:v>Fruit Punch Blast 2 oz</x:v>
      </x:c>
      <x:c r="C21" s="58" t="str">
        <x:v>Fruit Punch</x:v>
      </x:c>
      <x:c r="D21" s="58" t="str">
        <x:v>THC Only</x:v>
      </x:c>
      <x:c r="E21" s="58" t="str">
        <x:v>Hybrid</x:v>
      </x:c>
      <x:c r="F21" s="58" t="str">
        <x:v>Shot</x:v>
      </x:c>
      <x:c r="G21" s="59" t="str">
        <x:v>2 oz</x:v>
      </x:c>
      <x:c r="H21" s="59" t="str">
        <x:v>THC Only</x:v>
      </x:c>
      <x:c r="I21" s="58"/>
      <x:c r="J21" s="60" t="n">
        <x:v>10</x:v>
      </x:c>
      <x:c r="K21" s="60" t="n">
        <x:f>J21*$T21</x:f>
        <x:v>100</x:v>
      </x:c>
      <x:c r="L21" s="60" t="n">
        <x:v>0</x:v>
      </x:c>
      <x:c r="M21" s="60" t="n">
        <x:f>L21*$T21</x:f>
        <x:v>0</x:v>
      </x:c>
      <x:c r="N21" s="60" t="n">
        <x:v>0</x:v>
      </x:c>
      <x:c r="O21" s="60" t="n">
        <x:f>N21*$T21</x:f>
        <x:v>0</x:v>
      </x:c>
      <x:c r="P21" s="60" t="n">
        <x:v>0</x:v>
      </x:c>
      <x:c r="Q21" s="60" t="n">
        <x:f>P21*$T21</x:f>
        <x:v>0</x:v>
      </x:c>
      <x:c r="R21" s="60" t="n">
        <x:v>0</x:v>
      </x:c>
      <x:c r="S21" s="60" t="n">
        <x:f>R21*$T21</x:f>
        <x:v>0</x:v>
      </x:c>
      <x:c r="T21" s="61" t="n">
        <x:v>10</x:v>
      </x:c>
      <x:c r="U21" s="58" t="str">
        <x:v>$12.99</x:v>
      </x:c>
      <x:c r="V21" s="52" t="str">
        <x:v>A nostalgic mix of red fruit and citrus gives this shot a bold fruit-punch profile that suits Major's compact format.</x:v>
      </x:c>
      <x:c r="W21" s="52" t="str">
        <x:v>https://www.nevisbrands.com/major</x:v>
      </x:c>
      <x:c r="X21" t="str">
        <x:v>Volume</x:v>
      </x:c>
      <x:c r="Y21" s="67" t="n">
        <x:v>2</x:v>
      </x:c>
      <x:c r="Z21" t="str">
        <x:v>fl oz</x:v>
      </x:c>
      <x:c r="AA21" s="68" t="n">
        <x:f>IF(ISNUMBER(Y21),ROUNDDOWN(Y21*29.5735295625,0),"")</x:f>
        <x:v>59</x:v>
      </x:c>
      <x:c r="AB21" t="str">
        <x:v>mL</x:v>
      </x:c>
      <x:c r="AC21" s="67" t="n">
        <x:f>IF(AND(ISNUMBER(AA21),ISNUMBER(T21),T21&gt;0),AA21/T21,"")</x:f>
        <x:v>5.9</x:v>
      </x:c>
      <x:c r="AD21" s="43" t="str">
        <x:v>Catalog-declared size; normalized to fluid volume</x:v>
      </x:c>
      <x:c r="AE21" s="43" t="str">
        <x:v>https://www.nevisbrands.com/major</x:v>
      </x:c>
      <x:c r="AF21" t="str">
        <x:f>"Net Vol. "&amp;TEXT(Y21,"0.##")&amp;" fl oz ("&amp;TEXT(AA21,"0.#")&amp;" mL)"</x:f>
        <x:v>Net Vol. 2. fl oz (59. mL)</x:v>
      </x:c>
      <x:c r="AG21" s="67" t="n">
        <x:f>IF(AND(ISNUMBER(Y21),ISNUMBER(T21),T21&gt;0),Y21/T21,"")</x:f>
        <x:v>0.2</x:v>
      </x:c>
      <x:c r="AH21" t="str">
        <x:f>IF(AG21="","",TEXT(AG21,"0.##")&amp;" fl oz ("&amp;TEXT(AC21,"0.#")&amp;" mL)")</x:f>
        <x:v>0.2 fl oz (5.9 mL)</x:v>
      </x:c>
      <x:c r="AI21" s="43" t="str">
        <x:v>Multi-serving liquid: resealable closure/cap + measuring device or package markings required</x:v>
      </x:c>
      <x:c r="AJ21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2" s="20" customFormat="1" ht="34" customHeight="1">
      <x:c r="A22" s="58" t="str">
        <x:v>Major</x:v>
      </x:c>
      <x:c r="B22" s="58" t="str">
        <x:v>Blueberry Blast 2 oz</x:v>
      </x:c>
      <x:c r="C22" s="58" t="str">
        <x:v>Blueberry</x:v>
      </x:c>
      <x:c r="D22" s="58" t="str">
        <x:v>THC Only</x:v>
      </x:c>
      <x:c r="E22" s="58" t="str">
        <x:v>Indica Hybrid</x:v>
      </x:c>
      <x:c r="F22" s="58" t="str">
        <x:v>Shot</x:v>
      </x:c>
      <x:c r="G22" s="59" t="str">
        <x:v>2 oz</x:v>
      </x:c>
      <x:c r="H22" s="59" t="str">
        <x:v>THC Only</x:v>
      </x:c>
      <x:c r="I22" s="58"/>
      <x:c r="J22" s="60" t="n">
        <x:v>10</x:v>
      </x:c>
      <x:c r="K22" s="60" t="n">
        <x:f>J22*$T22</x:f>
        <x:v>100</x:v>
      </x:c>
      <x:c r="L22" s="60" t="n">
        <x:v>0</x:v>
      </x:c>
      <x:c r="M22" s="60" t="n">
        <x:f>L22*$T22</x:f>
        <x:v>0</x:v>
      </x:c>
      <x:c r="N22" s="60" t="n">
        <x:v>0</x:v>
      </x:c>
      <x:c r="O22" s="60" t="n">
        <x:f>N22*$T22</x:f>
        <x:v>0</x:v>
      </x:c>
      <x:c r="P22" s="60" t="n">
        <x:v>0</x:v>
      </x:c>
      <x:c r="Q22" s="60" t="n">
        <x:f>P22*$T22</x:f>
        <x:v>0</x:v>
      </x:c>
      <x:c r="R22" s="60" t="n">
        <x:v>0</x:v>
      </x:c>
      <x:c r="S22" s="60" t="n">
        <x:f>R22*$T22</x:f>
        <x:v>0</x:v>
      </x:c>
      <x:c r="T22" s="61" t="n">
        <x:v>10</x:v>
      </x:c>
      <x:c r="U22" s="58" t="str">
        <x:v>$13.99</x:v>
      </x:c>
      <x:c r="V22" s="52" t="str">
        <x:v>Blueberry comes through dark and jammy with a tart edge, packing plenty of fruit character into two ounces.</x:v>
      </x:c>
      <x:c r="W22" s="52" t="str">
        <x:v>https://www.nevisbrands.com/major</x:v>
      </x:c>
      <x:c r="X22" t="str">
        <x:v>Volume</x:v>
      </x:c>
      <x:c r="Y22" s="67" t="n">
        <x:v>2</x:v>
      </x:c>
      <x:c r="Z22" t="str">
        <x:v>fl oz</x:v>
      </x:c>
      <x:c r="AA22" s="68" t="n">
        <x:f>IF(ISNUMBER(Y22),ROUNDDOWN(Y22*29.5735295625,0),"")</x:f>
        <x:v>59</x:v>
      </x:c>
      <x:c r="AB22" t="str">
        <x:v>mL</x:v>
      </x:c>
      <x:c r="AC22" s="67" t="n">
        <x:f>IF(AND(ISNUMBER(AA22),ISNUMBER(T22),T22&gt;0),AA22/T22,"")</x:f>
        <x:v>5.9</x:v>
      </x:c>
      <x:c r="AD22" s="43" t="str">
        <x:v>Catalog-declared size; normalized to fluid volume</x:v>
      </x:c>
      <x:c r="AE22" s="43" t="str">
        <x:v>https://www.nevisbrands.com/major</x:v>
      </x:c>
      <x:c r="AF22" t="str">
        <x:f>"Net Vol. "&amp;TEXT(Y22,"0.##")&amp;" fl oz ("&amp;TEXT(AA22,"0.#")&amp;" mL)"</x:f>
        <x:v>Net Vol. 2. fl oz (59. mL)</x:v>
      </x:c>
      <x:c r="AG22" s="67" t="n">
        <x:f>IF(AND(ISNUMBER(Y22),ISNUMBER(T22),T22&gt;0),Y22/T22,"")</x:f>
        <x:v>0.2</x:v>
      </x:c>
      <x:c r="AH22" t="str">
        <x:f>IF(AG22="","",TEXT(AG22,"0.##")&amp;" fl oz ("&amp;TEXT(AC22,"0.#")&amp;" mL)")</x:f>
        <x:v>0.2 fl oz (5.9 mL)</x:v>
      </x:c>
      <x:c r="AI22" s="43" t="str">
        <x:v>Multi-serving liquid: resealable closure/cap + measuring device or package markings required</x:v>
      </x:c>
      <x:c r="AJ22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3" s="20" customFormat="1" ht="34" customHeight="1">
      <x:c r="A23" s="58" t="str">
        <x:v>Major</x:v>
      </x:c>
      <x:c r="B23" s="58" t="str">
        <x:v>Apple Peach Blast 2 oz</x:v>
      </x:c>
      <x:c r="C23" s="58" t="str">
        <x:v>Apple Peach</x:v>
      </x:c>
      <x:c r="D23" s="58" t="str">
        <x:v>THC Only</x:v>
      </x:c>
      <x:c r="E23" s="58" t="str">
        <x:v>Sativa Hybrid</x:v>
      </x:c>
      <x:c r="F23" s="58" t="str">
        <x:v>Shot</x:v>
      </x:c>
      <x:c r="G23" s="59" t="str">
        <x:v>2 oz</x:v>
      </x:c>
      <x:c r="H23" s="59" t="str">
        <x:v>THC Only</x:v>
      </x:c>
      <x:c r="I23" s="58"/>
      <x:c r="J23" s="60" t="n">
        <x:v>10</x:v>
      </x:c>
      <x:c r="K23" s="60" t="n">
        <x:f>J23*$T23</x:f>
        <x:v>100</x:v>
      </x:c>
      <x:c r="L23" s="60" t="n">
        <x:v>0</x:v>
      </x:c>
      <x:c r="M23" s="60" t="n">
        <x:f>L23*$T23</x:f>
        <x:v>0</x:v>
      </x:c>
      <x:c r="N23" s="60" t="n">
        <x:v>0</x:v>
      </x:c>
      <x:c r="O23" s="60" t="n">
        <x:f>N23*$T23</x:f>
        <x:v>0</x:v>
      </x:c>
      <x:c r="P23" s="60" t="n">
        <x:v>0</x:v>
      </x:c>
      <x:c r="Q23" s="60" t="n">
        <x:f>P23*$T23</x:f>
        <x:v>0</x:v>
      </x:c>
      <x:c r="R23" s="60" t="n">
        <x:v>0</x:v>
      </x:c>
      <x:c r="S23" s="60" t="n">
        <x:f>R23*$T23</x:f>
        <x:v>0</x:v>
      </x:c>
      <x:c r="T23" s="61" t="n">
        <x:v>10</x:v>
      </x:c>
      <x:c r="U23" s="58" t="str">
        <x:v>$13.99</x:v>
      </x:c>
      <x:c r="V23" s="52" t="str">
        <x:v>Crisp apple brightens soft peach sweetness, giving this shot a juicy orchard-fruit balance rather than a single-note candy flavor.</x:v>
      </x:c>
      <x:c r="W23" s="52" t="str">
        <x:v>https://www.nevisbrands.com/major</x:v>
      </x:c>
      <x:c r="X23" t="str">
        <x:v>Volume</x:v>
      </x:c>
      <x:c r="Y23" s="67" t="n">
        <x:v>2</x:v>
      </x:c>
      <x:c r="Z23" t="str">
        <x:v>fl oz</x:v>
      </x:c>
      <x:c r="AA23" s="68" t="n">
        <x:f>IF(ISNUMBER(Y23),ROUNDDOWN(Y23*29.5735295625,0),"")</x:f>
        <x:v>59</x:v>
      </x:c>
      <x:c r="AB23" t="str">
        <x:v>mL</x:v>
      </x:c>
      <x:c r="AC23" s="67" t="n">
        <x:f>IF(AND(ISNUMBER(AA23),ISNUMBER(T23),T23&gt;0),AA23/T23,"")</x:f>
        <x:v>5.9</x:v>
      </x:c>
      <x:c r="AD23" s="43" t="str">
        <x:v>Catalog-declared size; normalized to fluid volume</x:v>
      </x:c>
      <x:c r="AE23" s="43" t="str">
        <x:v>https://www.nevisbrands.com/major</x:v>
      </x:c>
      <x:c r="AF23" t="str">
        <x:f>"Net Vol. "&amp;TEXT(Y23,"0.##")&amp;" fl oz ("&amp;TEXT(AA23,"0.#")&amp;" mL)"</x:f>
        <x:v>Net Vol. 2. fl oz (59. mL)</x:v>
      </x:c>
      <x:c r="AG23" s="67" t="n">
        <x:f>IF(AND(ISNUMBER(Y23),ISNUMBER(T23),T23&gt;0),Y23/T23,"")</x:f>
        <x:v>0.2</x:v>
      </x:c>
      <x:c r="AH23" t="str">
        <x:f>IF(AG23="","",TEXT(AG23,"0.##")&amp;" fl oz ("&amp;TEXT(AC23,"0.#")&amp;" mL)")</x:f>
        <x:v>0.2 fl oz (5.9 mL)</x:v>
      </x:c>
      <x:c r="AI23" s="43" t="str">
        <x:v>Multi-serving liquid: resealable closure/cap + measuring device or package markings required</x:v>
      </x:c>
      <x:c r="AJ23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4" s="20" customFormat="1" ht="34" customHeight="1">
      <x:c r="A24" s="58" t="str">
        <x:v>Major</x:v>
      </x:c>
      <x:c r="B24" s="58" t="str">
        <x:v>Mojo-Rita Blast 2 oz</x:v>
      </x:c>
      <x:c r="C24" s="58" t="str">
        <x:v>Mojo-Rita</x:v>
      </x:c>
      <x:c r="D24" s="58" t="str">
        <x:v>THC Only</x:v>
      </x:c>
      <x:c r="E24" s="58" t="str">
        <x:v>Hybrid</x:v>
      </x:c>
      <x:c r="F24" s="58" t="str">
        <x:v>Shot</x:v>
      </x:c>
      <x:c r="G24" s="59" t="str">
        <x:v>2 oz</x:v>
      </x:c>
      <x:c r="H24" s="59" t="str">
        <x:v>THC Only</x:v>
      </x:c>
      <x:c r="I24" s="58"/>
      <x:c r="J24" s="60" t="n">
        <x:v>10</x:v>
      </x:c>
      <x:c r="K24" s="60" t="n">
        <x:f>J24*$T24</x:f>
        <x:v>100</x:v>
      </x:c>
      <x:c r="L24" s="60" t="n">
        <x:v>0</x:v>
      </x:c>
      <x:c r="M24" s="60" t="n">
        <x:f>L24*$T24</x:f>
        <x:v>0</x:v>
      </x:c>
      <x:c r="N24" s="60" t="n">
        <x:v>0</x:v>
      </x:c>
      <x:c r="O24" s="60" t="n">
        <x:f>N24*$T24</x:f>
        <x:v>0</x:v>
      </x:c>
      <x:c r="P24" s="60" t="n">
        <x:v>0</x:v>
      </x:c>
      <x:c r="Q24" s="60" t="n">
        <x:f>P24*$T24</x:f>
        <x:v>0</x:v>
      </x:c>
      <x:c r="R24" s="60" t="n">
        <x:v>0</x:v>
      </x:c>
      <x:c r="S24" s="60" t="n">
        <x:f>R24*$T24</x:f>
        <x:v>0</x:v>
      </x:c>
      <x:c r="T24" s="61" t="n">
        <x:v>10</x:v>
      </x:c>
      <x:c r="U24" s="58" t="str">
        <x:v>$14.99</x:v>
      </x:c>
      <x:c r="V24" s="52" t="str">
        <x:v>Lime-forward and cocktail-inspired, this shot leans into tart citrus with a lightly sweet finish reminiscent of a margarita mixer.</x:v>
      </x:c>
      <x:c r="W24" s="52" t="str">
        <x:v>https://www.nevisbrands.com/major</x:v>
      </x:c>
      <x:c r="X24" t="str">
        <x:v>Volume</x:v>
      </x:c>
      <x:c r="Y24" s="67" t="n">
        <x:v>2</x:v>
      </x:c>
      <x:c r="Z24" t="str">
        <x:v>fl oz</x:v>
      </x:c>
      <x:c r="AA24" s="68" t="n">
        <x:f>IF(ISNUMBER(Y24),ROUNDDOWN(Y24*29.5735295625,0),"")</x:f>
        <x:v>59</x:v>
      </x:c>
      <x:c r="AB24" t="str">
        <x:v>mL</x:v>
      </x:c>
      <x:c r="AC24" s="67" t="n">
        <x:f>IF(AND(ISNUMBER(AA24),ISNUMBER(T24),T24&gt;0),AA24/T24,"")</x:f>
        <x:v>5.9</x:v>
      </x:c>
      <x:c r="AD24" s="43" t="str">
        <x:v>Catalog-declared size; normalized to fluid volume</x:v>
      </x:c>
      <x:c r="AE24" s="43" t="str">
        <x:v>https://www.nevisbrands.com/major</x:v>
      </x:c>
      <x:c r="AF24" t="str">
        <x:f>"Net Vol. "&amp;TEXT(Y24,"0.##")&amp;" fl oz ("&amp;TEXT(AA24,"0.#")&amp;" mL)"</x:f>
        <x:v>Net Vol. 2. fl oz (59. mL)</x:v>
      </x:c>
      <x:c r="AG24" s="67" t="n">
        <x:f>IF(AND(ISNUMBER(Y24),ISNUMBER(T24),T24&gt;0),Y24/T24,"")</x:f>
        <x:v>0.2</x:v>
      </x:c>
      <x:c r="AH24" t="str">
        <x:f>IF(AG24="","",TEXT(AG24,"0.##")&amp;" fl oz ("&amp;TEXT(AC24,"0.#")&amp;" mL)")</x:f>
        <x:v>0.2 fl oz (5.9 mL)</x:v>
      </x:c>
      <x:c r="AI24" s="43" t="str">
        <x:v>Multi-serving liquid: resealable closure/cap + measuring device or package markings required</x:v>
      </x:c>
      <x:c r="AJ24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5" s="20" customFormat="1" ht="34" customHeight="1">
      <x:c r="A25" s="58" t="str">
        <x:v>Major</x:v>
      </x:c>
      <x:c r="B25" s="58" t="str">
        <x:v>Volcanic Orange Mango 6.7 oz</x:v>
      </x:c>
      <x:c r="C25" s="58" t="str">
        <x:v>Orange Mango</x:v>
      </x:c>
      <x:c r="D25" s="58" t="str">
        <x:v>THC Only</x:v>
      </x:c>
      <x:c r="E25" s="58" t="str">
        <x:v>Sativa Hybrid</x:v>
      </x:c>
      <x:c r="F25" s="58" t="str">
        <x:v>Drink</x:v>
      </x:c>
      <x:c r="G25" s="59" t="str">
        <x:v>6.7 oz</x:v>
      </x:c>
      <x:c r="H25" s="59" t="str">
        <x:v>THC Only</x:v>
      </x:c>
      <x:c r="I25" s="58"/>
      <x:c r="J25" s="60" t="n">
        <x:v>10</x:v>
      </x:c>
      <x:c r="K25" s="60" t="n">
        <x:f>J25*$T25</x:f>
        <x:v>100</x:v>
      </x:c>
      <x:c r="L25" s="60" t="n">
        <x:v>0</x:v>
      </x:c>
      <x:c r="M25" s="60" t="n">
        <x:f>L25*$T25</x:f>
        <x:v>0</x:v>
      </x:c>
      <x:c r="N25" s="60" t="n">
        <x:v>0</x:v>
      </x:c>
      <x:c r="O25" s="60" t="n">
        <x:f>N25*$T25</x:f>
        <x:v>0</x:v>
      </x:c>
      <x:c r="P25" s="60" t="n">
        <x:v>0</x:v>
      </x:c>
      <x:c r="Q25" s="60" t="n">
        <x:f>P25*$T25</x:f>
        <x:v>0</x:v>
      </x:c>
      <x:c r="R25" s="60" t="n">
        <x:v>0</x:v>
      </x:c>
      <x:c r="S25" s="60" t="n">
        <x:f>R25*$T25</x:f>
        <x:v>0</x:v>
      </x:c>
      <x:c r="T25" s="61" t="n">
        <x:v>10</x:v>
      </x:c>
      <x:c r="U25" s="58" t="str">
        <x:v>$15.99</x:v>
      </x:c>
      <x:c r="V25" s="52" t="str">
        <x:v>Bright orange lifts ripe mango into a juicy tropical blend with enough citrus acidity to keep the sweetness moving.</x:v>
      </x:c>
      <x:c r="W25" s="52" t="str">
        <x:v>https://www.nevisbrands.com/major</x:v>
      </x:c>
      <x:c r="X25" t="str">
        <x:v>Volume</x:v>
      </x:c>
      <x:c r="Y25" s="67" t="n">
        <x:v>6.7</x:v>
      </x:c>
      <x:c r="Z25" t="str">
        <x:v>fl oz</x:v>
      </x:c>
      <x:c r="AA25" s="68" t="n">
        <x:f>IF(ISNUMBER(Y25),ROUNDDOWN(Y25*29.5735295625,0),"")</x:f>
        <x:v>198</x:v>
      </x:c>
      <x:c r="AB25" t="str">
        <x:v>mL</x:v>
      </x:c>
      <x:c r="AC25" s="67" t="n">
        <x:f>IF(AND(ISNUMBER(AA25),ISNUMBER(T25),T25&gt;0),AA25/T25,"")</x:f>
        <x:v>19.8</x:v>
      </x:c>
      <x:c r="AD25" s="43" t="str">
        <x:v>Catalog-declared size; normalized to fluid volume</x:v>
      </x:c>
      <x:c r="AE25" s="43" t="str">
        <x:v>https://www.nevisbrands.com/major</x:v>
      </x:c>
      <x:c r="AF25" t="str">
        <x:f>"Net Vol. "&amp;TEXT(Y25,"0.##")&amp;" fl oz ("&amp;TEXT(AA25,"0.#")&amp;" mL)"</x:f>
        <x:v>Net Vol. 6.7 fl oz (198. mL)</x:v>
      </x:c>
      <x:c r="AG25" s="67" t="n">
        <x:f>IF(AND(ISNUMBER(Y25),ISNUMBER(T25),T25&gt;0),Y25/T25,"")</x:f>
        <x:v>0.67</x:v>
      </x:c>
      <x:c r="AH25" t="str">
        <x:f>IF(AG25="","",TEXT(AG25,"0.##")&amp;" fl oz ("&amp;TEXT(AC25,"0.#")&amp;" mL)")</x:f>
        <x:v>0.67 fl oz (19.8 mL)</x:v>
      </x:c>
      <x:c r="AI25" s="43" t="str">
        <x:v>Multi-serving liquid: resealable closure/cap + measuring device or package markings required</x:v>
      </x:c>
      <x:c r="AJ25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6" s="20" customFormat="1" ht="34" customHeight="1">
      <x:c r="A26" s="58" t="str">
        <x:v>Major</x:v>
      </x:c>
      <x:c r="B26" s="58" t="str">
        <x:v>Sunset Pink Lemonade 6.7 oz</x:v>
      </x:c>
      <x:c r="C26" s="58" t="str">
        <x:v>Pink Lemonade</x:v>
      </x:c>
      <x:c r="D26" s="58" t="str">
        <x:v>THC Only</x:v>
      </x:c>
      <x:c r="E26" s="58" t="str">
        <x:v>Sativa Hybrid</x:v>
      </x:c>
      <x:c r="F26" s="58" t="str">
        <x:v>Drink</x:v>
      </x:c>
      <x:c r="G26" s="59" t="str">
        <x:v>6.7 oz</x:v>
      </x:c>
      <x:c r="H26" s="59" t="str">
        <x:v>THC Only</x:v>
      </x:c>
      <x:c r="I26" s="58"/>
      <x:c r="J26" s="60" t="n">
        <x:v>10</x:v>
      </x:c>
      <x:c r="K26" s="60" t="n">
        <x:f>J26*$T26</x:f>
        <x:v>100</x:v>
      </x:c>
      <x:c r="L26" s="60" t="n">
        <x:v>0</x:v>
      </x:c>
      <x:c r="M26" s="60" t="n">
        <x:f>L26*$T26</x:f>
        <x:v>0</x:v>
      </x:c>
      <x:c r="N26" s="60" t="n">
        <x:v>0</x:v>
      </x:c>
      <x:c r="O26" s="60" t="n">
        <x:f>N26*$T26</x:f>
        <x:v>0</x:v>
      </x:c>
      <x:c r="P26" s="60" t="n">
        <x:v>0</x:v>
      </x:c>
      <x:c r="Q26" s="60" t="n">
        <x:f>P26*$T26</x:f>
        <x:v>0</x:v>
      </x:c>
      <x:c r="R26" s="60" t="n">
        <x:v>0</x:v>
      </x:c>
      <x:c r="S26" s="60" t="n">
        <x:f>R26*$T26</x:f>
        <x:v>0</x:v>
      </x:c>
      <x:c r="T26" s="61" t="n">
        <x:v>10</x:v>
      </x:c>
      <x:c r="U26" s="58" t="str">
        <x:v>$15.99</x:v>
      </x:c>
      <x:c r="V26" s="52" t="str">
        <x:v>Sweet pink lemonade starts smooth and fruity before finishing with a familiar tart lemon snap.</x:v>
      </x:c>
      <x:c r="W26" s="52" t="str">
        <x:v>https://www.nevisbrands.com/major</x:v>
      </x:c>
      <x:c r="X26" t="str">
        <x:v>Volume</x:v>
      </x:c>
      <x:c r="Y26" s="67" t="n">
        <x:v>6.7</x:v>
      </x:c>
      <x:c r="Z26" t="str">
        <x:v>fl oz</x:v>
      </x:c>
      <x:c r="AA26" s="68" t="n">
        <x:f>IF(ISNUMBER(Y26),ROUNDDOWN(Y26*29.5735295625,0),"")</x:f>
        <x:v>198</x:v>
      </x:c>
      <x:c r="AB26" t="str">
        <x:v>mL</x:v>
      </x:c>
      <x:c r="AC26" s="67" t="n">
        <x:f>IF(AND(ISNUMBER(AA26),ISNUMBER(T26),T26&gt;0),AA26/T26,"")</x:f>
        <x:v>19.8</x:v>
      </x:c>
      <x:c r="AD26" s="43" t="str">
        <x:v>Catalog-declared size; normalized to fluid volume</x:v>
      </x:c>
      <x:c r="AE26" s="43" t="str">
        <x:v>https://www.nevisbrands.com/major</x:v>
      </x:c>
      <x:c r="AF26" t="str">
        <x:f>"Net Vol. "&amp;TEXT(Y26,"0.##")&amp;" fl oz ("&amp;TEXT(AA26,"0.#")&amp;" mL)"</x:f>
        <x:v>Net Vol. 6.7 fl oz (198. mL)</x:v>
      </x:c>
      <x:c r="AG26" s="67" t="n">
        <x:f>IF(AND(ISNUMBER(Y26),ISNUMBER(T26),T26&gt;0),Y26/T26,"")</x:f>
        <x:v>0.67</x:v>
      </x:c>
      <x:c r="AH26" t="str">
        <x:f>IF(AG26="","",TEXT(AG26,"0.##")&amp;" fl oz ("&amp;TEXT(AC26,"0.#")&amp;" mL)")</x:f>
        <x:v>0.67 fl oz (19.8 mL)</x:v>
      </x:c>
      <x:c r="AI26" s="43" t="str">
        <x:v>Multi-serving liquid: resealable closure/cap + measuring device or package markings required</x:v>
      </x:c>
      <x:c r="AJ26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7" s="20" customFormat="1" ht="34" customHeight="1">
      <x:c r="A27" s="58" t="str">
        <x:v>Major</x:v>
      </x:c>
      <x:c r="B27" s="58" t="str">
        <x:v>Pacific Coast Blue Raspberry 6.7 oz</x:v>
      </x:c>
      <x:c r="C27" s="58" t="str">
        <x:v>Blue Raspberry</x:v>
      </x:c>
      <x:c r="D27" s="58" t="str">
        <x:v>THC Only</x:v>
      </x:c>
      <x:c r="E27" s="58" t="str">
        <x:v>Hybrid</x:v>
      </x:c>
      <x:c r="F27" s="58" t="str">
        <x:v>Drink</x:v>
      </x:c>
      <x:c r="G27" s="59" t="str">
        <x:v>6.7 oz</x:v>
      </x:c>
      <x:c r="H27" s="59" t="str">
        <x:v>THC Only</x:v>
      </x:c>
      <x:c r="I27" s="58"/>
      <x:c r="J27" s="60" t="n">
        <x:v>10</x:v>
      </x:c>
      <x:c r="K27" s="60" t="n">
        <x:f>J27*$T27</x:f>
        <x:v>100</x:v>
      </x:c>
      <x:c r="L27" s="60" t="n">
        <x:v>0</x:v>
      </x:c>
      <x:c r="M27" s="60" t="n">
        <x:f>L27*$T27</x:f>
        <x:v>0</x:v>
      </x:c>
      <x:c r="N27" s="60" t="n">
        <x:v>0</x:v>
      </x:c>
      <x:c r="O27" s="60" t="n">
        <x:f>N27*$T27</x:f>
        <x:v>0</x:v>
      </x:c>
      <x:c r="P27" s="60" t="n">
        <x:v>0</x:v>
      </x:c>
      <x:c r="Q27" s="60" t="n">
        <x:f>P27*$T27</x:f>
        <x:v>0</x:v>
      </x:c>
      <x:c r="R27" s="60" t="n">
        <x:v>0</x:v>
      </x:c>
      <x:c r="S27" s="60" t="n">
        <x:f>R27*$T27</x:f>
        <x:v>0</x:v>
      </x:c>
      <x:c r="T27" s="61" t="n">
        <x:v>10</x:v>
      </x:c>
      <x:c r="U27" s="58" t="str">
        <x:v>$15.99</x:v>
      </x:c>
      <x:c r="V27" s="52" t="str">
        <x:v>Blue raspberry brings a vivid sweet-tart profile with a slightly sour finish that makes the small bottle taste especially punchy.</x:v>
      </x:c>
      <x:c r="W27" s="52" t="str">
        <x:v>https://www.nevisbrands.com/major</x:v>
      </x:c>
      <x:c r="X27" t="str">
        <x:v>Volume</x:v>
      </x:c>
      <x:c r="Y27" s="67" t="n">
        <x:v>6.7</x:v>
      </x:c>
      <x:c r="Z27" t="str">
        <x:v>fl oz</x:v>
      </x:c>
      <x:c r="AA27" s="68" t="n">
        <x:f>IF(ISNUMBER(Y27),ROUNDDOWN(Y27*29.5735295625,0),"")</x:f>
        <x:v>198</x:v>
      </x:c>
      <x:c r="AB27" t="str">
        <x:v>mL</x:v>
      </x:c>
      <x:c r="AC27" s="67" t="n">
        <x:f>IF(AND(ISNUMBER(AA27),ISNUMBER(T27),T27&gt;0),AA27/T27,"")</x:f>
        <x:v>19.8</x:v>
      </x:c>
      <x:c r="AD27" s="43" t="str">
        <x:v>Catalog-declared size; normalized to fluid volume</x:v>
      </x:c>
      <x:c r="AE27" s="43" t="str">
        <x:v>https://www.nevisbrands.com/major</x:v>
      </x:c>
      <x:c r="AF27" t="str">
        <x:f>"Net Vol. "&amp;TEXT(Y27,"0.##")&amp;" fl oz ("&amp;TEXT(AA27,"0.#")&amp;" mL)"</x:f>
        <x:v>Net Vol. 6.7 fl oz (198. mL)</x:v>
      </x:c>
      <x:c r="AG27" s="67" t="n">
        <x:f>IF(AND(ISNUMBER(Y27),ISNUMBER(T27),T27&gt;0),Y27/T27,"")</x:f>
        <x:v>0.67</x:v>
      </x:c>
      <x:c r="AH27" t="str">
        <x:f>IF(AG27="","",TEXT(AG27,"0.##")&amp;" fl oz ("&amp;TEXT(AC27,"0.#")&amp;" mL)")</x:f>
        <x:v>0.67 fl oz (19.8 mL)</x:v>
      </x:c>
      <x:c r="AI27" s="43" t="str">
        <x:v>Multi-serving liquid: resealable closure/cap + measuring device or package markings required</x:v>
      </x:c>
      <x:c r="AJ27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8" s="20" customFormat="1" ht="34" customHeight="1">
      <x:c r="A28" s="58" t="str">
        <x:v>Swifts</x:v>
      </x:c>
      <x:c r="B28" s="58" t="str">
        <x:v>Wildflower Honey 4 oz</x:v>
      </x:c>
      <x:c r="C28" s="58" t="str">
        <x:v>Wildflower Honey</x:v>
      </x:c>
      <x:c r="D28" s="58" t="str">
        <x:v>THC Only</x:v>
      </x:c>
      <x:c r="E28" s="58" t="str">
        <x:v>Hybrid</x:v>
      </x:c>
      <x:c r="F28" s="58" t="str">
        <x:v>Honey</x:v>
      </x:c>
      <x:c r="G28" s="59" t="str">
        <x:v>4 oz</x:v>
      </x:c>
      <x:c r="H28" s="59" t="str">
        <x:v>THC Only</x:v>
      </x:c>
      <x:c r="I28" s="58"/>
      <x:c r="J28" s="60" t="n">
        <x:v>10</x:v>
      </x:c>
      <x:c r="K28" s="60" t="n">
        <x:f>J28*$T28</x:f>
        <x:v>100</x:v>
      </x:c>
      <x:c r="L28" s="60" t="n">
        <x:v>0</x:v>
      </x:c>
      <x:c r="M28" s="60" t="n">
        <x:f>L28*$T28</x:f>
        <x:v>0</x:v>
      </x:c>
      <x:c r="N28" s="60" t="n">
        <x:v>0</x:v>
      </x:c>
      <x:c r="O28" s="60" t="n">
        <x:f>N28*$T28</x:f>
        <x:v>0</x:v>
      </x:c>
      <x:c r="P28" s="60" t="n">
        <x:v>0</x:v>
      </x:c>
      <x:c r="Q28" s="60" t="n">
        <x:f>P28*$T28</x:f>
        <x:v>0</x:v>
      </x:c>
      <x:c r="R28" s="60" t="n">
        <x:v>0</x:v>
      </x:c>
      <x:c r="S28" s="60" t="n">
        <x:f>R28*$T28</x:f>
        <x:v>0</x:v>
      </x:c>
      <x:c r="T28" s="61" t="n">
        <x:v>10</x:v>
      </x:c>
      <x:c r="U28" s="58" t="str">
        <x:v>$23.99</x:v>
      </x:c>
      <x:c r="V28" s="52" t="str">
        <x:v>Floral and lightly earthy, this pourable honey keeps the sweetness natural with a subtle wildflower character.</x:v>
      </x:c>
      <x:c r="W28" s="52" t="str">
        <x:v>Mock extension based on Swifts' established product format/flavor direction</x:v>
      </x:c>
      <x:c r="X28" t="str">
        <x:v>Weight</x:v>
      </x:c>
      <x:c r="Y28" s="67" t="n">
        <x:v>4</x:v>
      </x:c>
      <x:c r="Z28" t="str">
        <x:v>oz</x:v>
      </x:c>
      <x:c r="AA28" s="68" t="n">
        <x:f>IF(ISNUMBER(Y28),ROUNDDOWN(Y28*28.349523125,1),"")</x:f>
        <x:v>113.3</x:v>
      </x:c>
      <x:c r="AB28" t="str">
        <x:v>g</x:v>
      </x:c>
      <x:c r="AC28" s="67" t="n">
        <x:f>IF(AND(ISNUMBER(AA28),ISNUMBER(T28),T28&gt;0),AA28/T28,"")</x:f>
        <x:v>11.33</x:v>
      </x:c>
      <x:c r="AD28" s="43" t="str">
        <x:v>Catalog-declared size; normalized as net weight for semi-solid/food form</x:v>
      </x:c>
      <x:c r="AE28" s="43" t="str">
        <x:v>Mock extension based on Swifts' established product format/flavor direction</x:v>
      </x:c>
      <x:c r="AF28" t="str">
        <x:f>"Net Wt. "&amp;TEXT(Y28,"0.##")&amp;" oz ("&amp;TEXT(AA28,"0.#")&amp;" g)"</x:f>
        <x:v>Net Wt. 4. oz (113.3 g)</x:v>
      </x:c>
      <x:c r="AG28" s="67" t="n">
        <x:f>IF(AND(ISNUMBER(Y28),ISNUMBER(T28),T28&gt;0),Y28/T28,"")</x:f>
        <x:v>0.4</x:v>
      </x:c>
      <x:c r="AH28" t="str">
        <x:f>IF(AG28="","",TEXT(AG28,"0.##")&amp;" oz ("&amp;TEXT(AC28,"0.#")&amp;" g)")</x:f>
        <x:v>0.4 oz (11.3 g)</x:v>
      </x:c>
      <x:c r="AI28" s="43" t="str">
        <x:v>Not treated as liquid-beverage packaging rule in this catalog; use actual licensed product classification</x:v>
      </x:c>
      <x:c r="AJ28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29" s="20" customFormat="1" ht="34" customHeight="1">
      <x:c r="A29" s="58" t="str">
        <x:v>Swifts</x:v>
      </x:c>
      <x:c r="B29" s="58" t="str">
        <x:v>Clover Honey 4 oz</x:v>
      </x:c>
      <x:c r="C29" s="58" t="str">
        <x:v>Clover Honey</x:v>
      </x:c>
      <x:c r="D29" s="58" t="str">
        <x:v>CBD</x:v>
      </x:c>
      <x:c r="E29" s="58" t="str">
        <x:v>Holistic</x:v>
      </x:c>
      <x:c r="F29" s="58" t="str">
        <x:v>Honey</x:v>
      </x:c>
      <x:c r="G29" s="59" t="str">
        <x:v>4 oz</x:v>
      </x:c>
      <x:c r="H29" s="59" t="str">
        <x:v>CBD Only</x:v>
      </x:c>
      <x:c r="I29" s="58"/>
      <x:c r="J29" s="60" t="n">
        <x:v>0</x:v>
      </x:c>
      <x:c r="K29" s="60" t="n">
        <x:f>J29*$T29</x:f>
        <x:v>0</x:v>
      </x:c>
      <x:c r="L29" s="60" t="n">
        <x:v>10</x:v>
      </x:c>
      <x:c r="M29" s="60" t="n">
        <x:f>L29*$T29</x:f>
        <x:v>100</x:v>
      </x:c>
      <x:c r="N29" s="60" t="n">
        <x:v>0</x:v>
      </x:c>
      <x:c r="O29" s="60" t="n">
        <x:f>N29*$T29</x:f>
        <x:v>0</x:v>
      </x:c>
      <x:c r="P29" s="60" t="n">
        <x:v>0</x:v>
      </x:c>
      <x:c r="Q29" s="60" t="n">
        <x:f>P29*$T29</x:f>
        <x:v>0</x:v>
      </x:c>
      <x:c r="R29" s="60" t="n">
        <x:v>0</x:v>
      </x:c>
      <x:c r="S29" s="60" t="n">
        <x:f>R29*$T29</x:f>
        <x:v>0</x:v>
      </x:c>
      <x:c r="T29" s="61" t="n">
        <x:v>10</x:v>
      </x:c>
      <x:c r="U29" s="58" t="str">
        <x:v>$24.99</x:v>
      </x:c>
      <x:c r="V29" s="52" t="str">
        <x:v>Clean clover sweetness and a mild floral finish make this the most straightforward honey in the set.</x:v>
      </x:c>
      <x:c r="W29" s="52" t="str">
        <x:v>Mock extension based on Swifts' established product format/flavor direction</x:v>
      </x:c>
      <x:c r="X29" t="str">
        <x:v>Weight</x:v>
      </x:c>
      <x:c r="Y29" s="67" t="n">
        <x:v>4</x:v>
      </x:c>
      <x:c r="Z29" t="str">
        <x:v>oz</x:v>
      </x:c>
      <x:c r="AA29" s="68" t="n">
        <x:f>IF(ISNUMBER(Y29),ROUNDDOWN(Y29*28.349523125,1),"")</x:f>
        <x:v>113.3</x:v>
      </x:c>
      <x:c r="AB29" t="str">
        <x:v>g</x:v>
      </x:c>
      <x:c r="AC29" s="67" t="n">
        <x:f>IF(AND(ISNUMBER(AA29),ISNUMBER(T29),T29&gt;0),AA29/T29,"")</x:f>
        <x:v>11.33</x:v>
      </x:c>
      <x:c r="AD29" s="43" t="str">
        <x:v>Catalog-declared size; normalized as net weight for semi-solid/food form</x:v>
      </x:c>
      <x:c r="AE29" s="43" t="str">
        <x:v>Mock extension based on Swifts' established product format/flavor direction</x:v>
      </x:c>
      <x:c r="AF29" t="str">
        <x:f>"Net Wt. "&amp;TEXT(Y29,"0.##")&amp;" oz ("&amp;TEXT(AA29,"0.#")&amp;" g)"</x:f>
        <x:v>Net Wt. 4. oz (113.3 g)</x:v>
      </x:c>
      <x:c r="AG29" s="67" t="n">
        <x:f>IF(AND(ISNUMBER(Y29),ISNUMBER(T29),T29&gt;0),Y29/T29,"")</x:f>
        <x:v>0.4</x:v>
      </x:c>
      <x:c r="AH29" t="str">
        <x:f>IF(AG29="","",TEXT(AG29,"0.##")&amp;" oz ("&amp;TEXT(AC29,"0.#")&amp;" g)")</x:f>
        <x:v>0.4 oz (11.3 g)</x:v>
      </x:c>
      <x:c r="AI29" s="43" t="str">
        <x:v>Not treated as liquid-beverage packaging rule in this catalog; use actual licensed product classification</x:v>
      </x:c>
      <x:c r="AJ29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0" s="20" customFormat="1" ht="34" customHeight="1">
      <x:c r="A30" s="58" t="str">
        <x:v>Swifts</x:v>
      </x:c>
      <x:c r="B30" s="58" t="str">
        <x:v>Orange Blossom Honey 4 oz</x:v>
      </x:c>
      <x:c r="C30" s="58" t="str">
        <x:v>Orange Blossom Honey</x:v>
      </x:c>
      <x:c r="D30" s="58" t="str">
        <x:v>Blend</x:v>
      </x:c>
      <x:c r="E30" s="58" t="str">
        <x:v>Holistic</x:v>
      </x:c>
      <x:c r="F30" s="58" t="str">
        <x:v>Honey</x:v>
      </x:c>
      <x:c r="G30" s="59" t="str">
        <x:v>4 oz</x:v>
      </x:c>
      <x:c r="H30" s="59" t="str">
        <x:v>THC:CBD</x:v>
      </x:c>
      <x:c r="I30" s="58" t="str">
        <x:v>1:1</x:v>
      </x:c>
      <x:c r="J30" s="60" t="n">
        <x:v>10</x:v>
      </x:c>
      <x:c r="K30" s="60" t="n">
        <x:f>J30*$T30</x:f>
        <x:v>100</x:v>
      </x:c>
      <x:c r="L30" s="60" t="n">
        <x:v>10</x:v>
      </x:c>
      <x:c r="M30" s="60" t="n">
        <x:f>L30*$T30</x:f>
        <x:v>100</x:v>
      </x:c>
      <x:c r="N30" s="60" t="n">
        <x:v>0</x:v>
      </x:c>
      <x:c r="O30" s="60" t="n">
        <x:f>N30*$T30</x:f>
        <x:v>0</x:v>
      </x:c>
      <x:c r="P30" s="60" t="n">
        <x:v>0</x:v>
      </x:c>
      <x:c r="Q30" s="60" t="n">
        <x:f>P30*$T30</x:f>
        <x:v>0</x:v>
      </x:c>
      <x:c r="R30" s="60" t="n">
        <x:v>0</x:v>
      </x:c>
      <x:c r="S30" s="60" t="n">
        <x:f>R30*$T30</x:f>
        <x:v>0</x:v>
      </x:c>
      <x:c r="T30" s="61" t="n">
        <x:v>10</x:v>
      </x:c>
      <x:c r="U30" s="58" t="str">
        <x:v>$25.99</x:v>
      </x:c>
      <x:c r="V30" s="52" t="str">
        <x:v>Fragrant orange blossom adds a soft citrus-floral note that brightens the honey without overpowering its natural sweetness.</x:v>
      </x:c>
      <x:c r="W30" s="52" t="str">
        <x:v>Mock extension based on Swifts' established product format/flavor direction</x:v>
      </x:c>
      <x:c r="X30" t="str">
        <x:v>Weight</x:v>
      </x:c>
      <x:c r="Y30" s="67" t="n">
        <x:v>4</x:v>
      </x:c>
      <x:c r="Z30" t="str">
        <x:v>oz</x:v>
      </x:c>
      <x:c r="AA30" s="68" t="n">
        <x:f>IF(ISNUMBER(Y30),ROUNDDOWN(Y30*28.349523125,1),"")</x:f>
        <x:v>113.3</x:v>
      </x:c>
      <x:c r="AB30" t="str">
        <x:v>g</x:v>
      </x:c>
      <x:c r="AC30" s="67" t="n">
        <x:f>IF(AND(ISNUMBER(AA30),ISNUMBER(T30),T30&gt;0),AA30/T30,"")</x:f>
        <x:v>11.33</x:v>
      </x:c>
      <x:c r="AD30" s="43" t="str">
        <x:v>Catalog-declared size; normalized as net weight for semi-solid/food form</x:v>
      </x:c>
      <x:c r="AE30" s="43" t="str">
        <x:v>Mock extension based on Swifts' established product format/flavor direction</x:v>
      </x:c>
      <x:c r="AF30" t="str">
        <x:f>"Net Wt. "&amp;TEXT(Y30,"0.##")&amp;" oz ("&amp;TEXT(AA30,"0.#")&amp;" g)"</x:f>
        <x:v>Net Wt. 4. oz (113.3 g)</x:v>
      </x:c>
      <x:c r="AG30" s="67" t="n">
        <x:f>IF(AND(ISNUMBER(Y30),ISNUMBER(T30),T30&gt;0),Y30/T30,"")</x:f>
        <x:v>0.4</x:v>
      </x:c>
      <x:c r="AH30" t="str">
        <x:f>IF(AG30="","",TEXT(AG30,"0.##")&amp;" oz ("&amp;TEXT(AC30,"0.#")&amp;" g)")</x:f>
        <x:v>0.4 oz (11.3 g)</x:v>
      </x:c>
      <x:c r="AI30" s="43" t="str">
        <x:v>Not treated as liquid-beverage packaging rule in this catalog; use actual licensed product classification</x:v>
      </x:c>
      <x:c r="AJ30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1" s="20" customFormat="1" ht="34" customHeight="1">
      <x:c r="A31" s="58" t="str">
        <x:v>Swifts</x:v>
      </x:c>
      <x:c r="B31" s="58" t="str">
        <x:v>Lavender Honey 4 oz</x:v>
      </x:c>
      <x:c r="C31" s="58" t="str">
        <x:v>Lavender Honey</x:v>
      </x:c>
      <x:c r="D31" s="58" t="str">
        <x:v>CBD</x:v>
      </x:c>
      <x:c r="E31" s="58" t="str">
        <x:v>Holistic</x:v>
      </x:c>
      <x:c r="F31" s="58" t="str">
        <x:v>Honey</x:v>
      </x:c>
      <x:c r="G31" s="59" t="str">
        <x:v>4 oz</x:v>
      </x:c>
      <x:c r="H31" s="59" t="str">
        <x:v>CBD Only</x:v>
      </x:c>
      <x:c r="I31" s="58"/>
      <x:c r="J31" s="60" t="n">
        <x:v>0</x:v>
      </x:c>
      <x:c r="K31" s="60" t="n">
        <x:f>J31*$T31</x:f>
        <x:v>0</x:v>
      </x:c>
      <x:c r="L31" s="60" t="n">
        <x:v>10</x:v>
      </x:c>
      <x:c r="M31" s="60" t="n">
        <x:f>L31*$T31</x:f>
        <x:v>100</x:v>
      </x:c>
      <x:c r="N31" s="60" t="n">
        <x:v>0</x:v>
      </x:c>
      <x:c r="O31" s="60" t="n">
        <x:f>N31*$T31</x:f>
        <x:v>0</x:v>
      </x:c>
      <x:c r="P31" s="60" t="n">
        <x:v>0</x:v>
      </x:c>
      <x:c r="Q31" s="60" t="n">
        <x:f>P31*$T31</x:f>
        <x:v>0</x:v>
      </x:c>
      <x:c r="R31" s="60" t="n">
        <x:v>0</x:v>
      </x:c>
      <x:c r="S31" s="60" t="n">
        <x:f>R31*$T31</x:f>
        <x:v>0</x:v>
      </x:c>
      <x:c r="T31" s="61" t="n">
        <x:v>10</x:v>
      </x:c>
      <x:c r="U31" s="58" t="str">
        <x:v>$25.99</x:v>
      </x:c>
      <x:c r="V31" s="52" t="str">
        <x:v>Aromatic lavender sits gently over smooth honey, creating a floral profile that feels closer to an herbal tea sweetener.</x:v>
      </x:c>
      <x:c r="W31" s="52" t="str">
        <x:v>Mock extension based on Swifts' established product format/flavor direction</x:v>
      </x:c>
      <x:c r="X31" t="str">
        <x:v>Weight</x:v>
      </x:c>
      <x:c r="Y31" s="67" t="n">
        <x:v>4</x:v>
      </x:c>
      <x:c r="Z31" t="str">
        <x:v>oz</x:v>
      </x:c>
      <x:c r="AA31" s="68" t="n">
        <x:f>IF(ISNUMBER(Y31),ROUNDDOWN(Y31*28.349523125,1),"")</x:f>
        <x:v>113.3</x:v>
      </x:c>
      <x:c r="AB31" t="str">
        <x:v>g</x:v>
      </x:c>
      <x:c r="AC31" s="67" t="n">
        <x:f>IF(AND(ISNUMBER(AA31),ISNUMBER(T31),T31&gt;0),AA31/T31,"")</x:f>
        <x:v>11.33</x:v>
      </x:c>
      <x:c r="AD31" s="43" t="str">
        <x:v>Catalog-declared size; normalized as net weight for semi-solid/food form</x:v>
      </x:c>
      <x:c r="AE31" s="43" t="str">
        <x:v>Mock extension based on Swifts' established product format/flavor direction</x:v>
      </x:c>
      <x:c r="AF31" t="str">
        <x:f>"Net Wt. "&amp;TEXT(Y31,"0.##")&amp;" oz ("&amp;TEXT(AA31,"0.#")&amp;" g)"</x:f>
        <x:v>Net Wt. 4. oz (113.3 g)</x:v>
      </x:c>
      <x:c r="AG31" s="67" t="n">
        <x:f>IF(AND(ISNUMBER(Y31),ISNUMBER(T31),T31&gt;0),Y31/T31,"")</x:f>
        <x:v>0.4</x:v>
      </x:c>
      <x:c r="AH31" t="str">
        <x:f>IF(AG31="","",TEXT(AG31,"0.##")&amp;" oz ("&amp;TEXT(AC31,"0.#")&amp;" g)")</x:f>
        <x:v>0.4 oz (11.3 g)</x:v>
      </x:c>
      <x:c r="AI31" s="43" t="str">
        <x:v>Not treated as liquid-beverage packaging rule in this catalog; use actual licensed product classification</x:v>
      </x:c>
      <x:c r="AJ31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2" s="20" customFormat="1" ht="34" customHeight="1">
      <x:c r="A32" s="58" t="str">
        <x:v>Swifts</x:v>
      </x:c>
      <x:c r="B32" s="58" t="str">
        <x:v>Spiced Honey 4 oz</x:v>
      </x:c>
      <x:c r="C32" s="58" t="str">
        <x:v>Spiced Honey</x:v>
      </x:c>
      <x:c r="D32" s="58" t="str">
        <x:v>THC Only</x:v>
      </x:c>
      <x:c r="E32" s="58" t="str">
        <x:v>Hybrid</x:v>
      </x:c>
      <x:c r="F32" s="58" t="str">
        <x:v>Honey</x:v>
      </x:c>
      <x:c r="G32" s="59" t="str">
        <x:v>4 oz</x:v>
      </x:c>
      <x:c r="H32" s="59" t="str">
        <x:v>THC Only</x:v>
      </x:c>
      <x:c r="I32" s="58"/>
      <x:c r="J32" s="60" t="n">
        <x:v>10</x:v>
      </x:c>
      <x:c r="K32" s="60" t="n">
        <x:f>J32*$T32</x:f>
        <x:v>100</x:v>
      </x:c>
      <x:c r="L32" s="60" t="n">
        <x:v>0</x:v>
      </x:c>
      <x:c r="M32" s="60" t="n">
        <x:f>L32*$T32</x:f>
        <x:v>0</x:v>
      </x:c>
      <x:c r="N32" s="60" t="n">
        <x:v>0</x:v>
      </x:c>
      <x:c r="O32" s="60" t="n">
        <x:f>N32*$T32</x:f>
        <x:v>0</x:v>
      </x:c>
      <x:c r="P32" s="60" t="n">
        <x:v>0</x:v>
      </x:c>
      <x:c r="Q32" s="60" t="n">
        <x:f>P32*$T32</x:f>
        <x:v>0</x:v>
      </x:c>
      <x:c r="R32" s="60" t="n">
        <x:v>0</x:v>
      </x:c>
      <x:c r="S32" s="60" t="n">
        <x:f>R32*$T32</x:f>
        <x:v>0</x:v>
      </x:c>
      <x:c r="T32" s="61" t="n">
        <x:v>10</x:v>
      </x:c>
      <x:c r="U32" s="58" t="str">
        <x:v>$24.99</x:v>
      </x:c>
      <x:c r="V32" s="52" t="str">
        <x:v>Warm baking spice adds depth to the honey's sweetness, giving it a richer finish suited to tea, toast, or mixing.</x:v>
      </x:c>
      <x:c r="W32" s="52" t="str">
        <x:v>Mock extension based on Swifts' established product format/flavor direction</x:v>
      </x:c>
      <x:c r="X32" t="str">
        <x:v>Weight</x:v>
      </x:c>
      <x:c r="Y32" s="67" t="n">
        <x:v>4</x:v>
      </x:c>
      <x:c r="Z32" t="str">
        <x:v>oz</x:v>
      </x:c>
      <x:c r="AA32" s="68" t="n">
        <x:f>IF(ISNUMBER(Y32),ROUNDDOWN(Y32*28.349523125,1),"")</x:f>
        <x:v>113.3</x:v>
      </x:c>
      <x:c r="AB32" t="str">
        <x:v>g</x:v>
      </x:c>
      <x:c r="AC32" s="67" t="n">
        <x:f>IF(AND(ISNUMBER(AA32),ISNUMBER(T32),T32&gt;0),AA32/T32,"")</x:f>
        <x:v>11.33</x:v>
      </x:c>
      <x:c r="AD32" s="43" t="str">
        <x:v>Catalog-declared size; normalized as net weight for semi-solid/food form</x:v>
      </x:c>
      <x:c r="AE32" s="43" t="str">
        <x:v>Mock extension based on Swifts' established product format/flavor direction</x:v>
      </x:c>
      <x:c r="AF32" t="str">
        <x:f>"Net Wt. "&amp;TEXT(Y32,"0.##")&amp;" oz ("&amp;TEXT(AA32,"0.#")&amp;" g)"</x:f>
        <x:v>Net Wt. 4. oz (113.3 g)</x:v>
      </x:c>
      <x:c r="AG32" s="67" t="n">
        <x:f>IF(AND(ISNUMBER(Y32),ISNUMBER(T32),T32&gt;0),Y32/T32,"")</x:f>
        <x:v>0.4</x:v>
      </x:c>
      <x:c r="AH32" t="str">
        <x:f>IF(AG32="","",TEXT(AG32,"0.##")&amp;" oz ("&amp;TEXT(AC32,"0.#")&amp;" g)")</x:f>
        <x:v>0.4 oz (11.3 g)</x:v>
      </x:c>
      <x:c r="AI32" s="43" t="str">
        <x:v>Not treated as liquid-beverage packaging rule in this catalog; use actual licensed product classification</x:v>
      </x:c>
      <x:c r="AJ32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3" s="20" customFormat="1" ht="34" customHeight="1">
      <x:c r="A33" s="58" t="str">
        <x:v>Cormorant</x:v>
      </x:c>
      <x:c r="B33" s="58" t="str">
        <x:v>Blueberry Sorbet 4 oz</x:v>
      </x:c>
      <x:c r="C33" s="58" t="str">
        <x:v>Blueberry</x:v>
      </x:c>
      <x:c r="D33" s="58" t="str">
        <x:v>THC Only</x:v>
      </x:c>
      <x:c r="E33" s="58" t="str">
        <x:v>Indica Hybrid</x:v>
      </x:c>
      <x:c r="F33" s="58" t="str">
        <x:v>Sorbet</x:v>
      </x:c>
      <x:c r="G33" s="59" t="str">
        <x:v>4 oz</x:v>
      </x:c>
      <x:c r="H33" s="59" t="str">
        <x:v>THC Only</x:v>
      </x:c>
      <x:c r="I33" s="58"/>
      <x:c r="J33" s="60" t="n">
        <x:v>10</x:v>
      </x:c>
      <x:c r="K33" s="60" t="n">
        <x:f>J33*$T33</x:f>
        <x:v>100</x:v>
      </x:c>
      <x:c r="L33" s="60" t="n">
        <x:v>0</x:v>
      </x:c>
      <x:c r="M33" s="60" t="n">
        <x:f>L33*$T33</x:f>
        <x:v>0</x:v>
      </x:c>
      <x:c r="N33" s="60" t="n">
        <x:v>0</x:v>
      </x:c>
      <x:c r="O33" s="60" t="n">
        <x:f>N33*$T33</x:f>
        <x:v>0</x:v>
      </x:c>
      <x:c r="P33" s="60" t="n">
        <x:v>0</x:v>
      </x:c>
      <x:c r="Q33" s="60" t="n">
        <x:f>P33*$T33</x:f>
        <x:v>0</x:v>
      </x:c>
      <x:c r="R33" s="60" t="n">
        <x:v>0</x:v>
      </x:c>
      <x:c r="S33" s="60" t="n">
        <x:f>R33*$T33</x:f>
        <x:v>0</x:v>
      </x:c>
      <x:c r="T33" s="61" t="n">
        <x:v>10</x:v>
      </x:c>
      <x:c r="U33" s="58" t="str">
        <x:v>$8.99</x:v>
      </x:c>
      <x:c r="V33" s="52" t="str">
        <x:v>Bright blueberry flavor runs through a smooth frozen base, landing somewhere between berry ice and a soft scoop of sorbet.</x:v>
      </x:c>
      <x:c r="W33" s="52" t="str">
        <x:v>https://www.greenworkscannabis.com/projects-7</x:v>
      </x:c>
      <x:c r="X33" t="str">
        <x:v>Weight</x:v>
      </x:c>
      <x:c r="Y33" s="67" t="n">
        <x:v>4</x:v>
      </x:c>
      <x:c r="Z33" t="str">
        <x:v>oz</x:v>
      </x:c>
      <x:c r="AA33" s="68" t="n">
        <x:f>IF(ISNUMBER(Y33),ROUNDDOWN(Y33*28.349523125,1),"")</x:f>
        <x:v>113.3</x:v>
      </x:c>
      <x:c r="AB33" t="str">
        <x:v>g</x:v>
      </x:c>
      <x:c r="AC33" s="67" t="n">
        <x:f>IF(AND(ISNUMBER(AA33),ISNUMBER(T33),T33&gt;0),AA33/T33,"")</x:f>
        <x:v>11.33</x:v>
      </x:c>
      <x:c r="AD33" s="43" t="str">
        <x:v>Catalog-declared size; normalized as net weight for semi-solid/food form</x:v>
      </x:c>
      <x:c r="AE33" s="43" t="str">
        <x:v>https://www.greenworkscannabis.com/projects-7</x:v>
      </x:c>
      <x:c r="AF33" t="str">
        <x:f>"Net Wt. "&amp;TEXT(Y33,"0.##")&amp;" oz ("&amp;TEXT(AA33,"0.#")&amp;" g)"</x:f>
        <x:v>Net Wt. 4. oz (113.3 g)</x:v>
      </x:c>
      <x:c r="AG33" s="67" t="n">
        <x:f>IF(AND(ISNUMBER(Y33),ISNUMBER(T33),T33&gt;0),Y33/T33,"")</x:f>
        <x:v>0.4</x:v>
      </x:c>
      <x:c r="AH33" t="str">
        <x:f>IF(AG33="","",TEXT(AG33,"0.##")&amp;" oz ("&amp;TEXT(AC33,"0.#")&amp;" g)")</x:f>
        <x:v>0.4 oz (11.3 g)</x:v>
      </x:c>
      <x:c r="AI33" s="43" t="str">
        <x:v>Not treated as liquid-beverage packaging rule in this catalog; use actual licensed product classification</x:v>
      </x:c>
      <x:c r="AJ33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4" s="20" customFormat="1" ht="34" customHeight="1">
      <x:c r="A34" s="58" t="str">
        <x:v>Cormorant</x:v>
      </x:c>
      <x:c r="B34" s="58" t="str">
        <x:v>Lime Ginger Sorbet 4 oz</x:v>
      </x:c>
      <x:c r="C34" s="58" t="str">
        <x:v>Lime Ginger</x:v>
      </x:c>
      <x:c r="D34" s="58" t="str">
        <x:v>THC Only</x:v>
      </x:c>
      <x:c r="E34" s="58" t="str">
        <x:v>Sativa</x:v>
      </x:c>
      <x:c r="F34" s="58" t="str">
        <x:v>Sorbet</x:v>
      </x:c>
      <x:c r="G34" s="59" t="str">
        <x:v>4 oz</x:v>
      </x:c>
      <x:c r="H34" s="59" t="str">
        <x:v>THC Only</x:v>
      </x:c>
      <x:c r="I34" s="58"/>
      <x:c r="J34" s="60" t="n">
        <x:v>10</x:v>
      </x:c>
      <x:c r="K34" s="60" t="n">
        <x:f>J34*$T34</x:f>
        <x:v>100</x:v>
      </x:c>
      <x:c r="L34" s="60" t="n">
        <x:v>0</x:v>
      </x:c>
      <x:c r="M34" s="60" t="n">
        <x:f>L34*$T34</x:f>
        <x:v>0</x:v>
      </x:c>
      <x:c r="N34" s="60" t="n">
        <x:v>0</x:v>
      </x:c>
      <x:c r="O34" s="60" t="n">
        <x:f>N34*$T34</x:f>
        <x:v>0</x:v>
      </x:c>
      <x:c r="P34" s="60" t="n">
        <x:v>0</x:v>
      </x:c>
      <x:c r="Q34" s="60" t="n">
        <x:f>P34*$T34</x:f>
        <x:v>0</x:v>
      </x:c>
      <x:c r="R34" s="60" t="n">
        <x:v>0</x:v>
      </x:c>
      <x:c r="S34" s="60" t="n">
        <x:f>R34*$T34</x:f>
        <x:v>0</x:v>
      </x:c>
      <x:c r="T34" s="61" t="n">
        <x:v>10</x:v>
      </x:c>
      <x:c r="U34" s="58" t="str">
        <x:v>$8.99</x:v>
      </x:c>
      <x:c r="V34" s="52" t="str">
        <x:v>Sharp lime hits first before ginger adds a warming bite, making this one especially crisp straight from the freezer.</x:v>
      </x:c>
      <x:c r="W34" s="52" t="str">
        <x:v>https://www.greenworkscannabis.com/projects-7</x:v>
      </x:c>
      <x:c r="X34" t="str">
        <x:v>Weight</x:v>
      </x:c>
      <x:c r="Y34" s="67" t="n">
        <x:v>4</x:v>
      </x:c>
      <x:c r="Z34" t="str">
        <x:v>oz</x:v>
      </x:c>
      <x:c r="AA34" s="68" t="n">
        <x:f>IF(ISNUMBER(Y34),ROUNDDOWN(Y34*28.349523125,1),"")</x:f>
        <x:v>113.3</x:v>
      </x:c>
      <x:c r="AB34" t="str">
        <x:v>g</x:v>
      </x:c>
      <x:c r="AC34" s="67" t="n">
        <x:f>IF(AND(ISNUMBER(AA34),ISNUMBER(T34),T34&gt;0),AA34/T34,"")</x:f>
        <x:v>11.33</x:v>
      </x:c>
      <x:c r="AD34" s="43" t="str">
        <x:v>Catalog-declared size; normalized as net weight for semi-solid/food form</x:v>
      </x:c>
      <x:c r="AE34" s="43" t="str">
        <x:v>https://www.greenworkscannabis.com/projects-7</x:v>
      </x:c>
      <x:c r="AF34" t="str">
        <x:f>"Net Wt. "&amp;TEXT(Y34,"0.##")&amp;" oz ("&amp;TEXT(AA34,"0.#")&amp;" g)"</x:f>
        <x:v>Net Wt. 4. oz (113.3 g)</x:v>
      </x:c>
      <x:c r="AG34" s="67" t="n">
        <x:f>IF(AND(ISNUMBER(Y34),ISNUMBER(T34),T34&gt;0),Y34/T34,"")</x:f>
        <x:v>0.4</x:v>
      </x:c>
      <x:c r="AH34" t="str">
        <x:f>IF(AG34="","",TEXT(AG34,"0.##")&amp;" oz ("&amp;TEXT(AC34,"0.#")&amp;" g)")</x:f>
        <x:v>0.4 oz (11.3 g)</x:v>
      </x:c>
      <x:c r="AI34" s="43" t="str">
        <x:v>Not treated as liquid-beverage packaging rule in this catalog; use actual licensed product classification</x:v>
      </x:c>
      <x:c r="AJ34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5" s="20" customFormat="1" ht="34" customHeight="1">
      <x:c r="A35" s="58" t="str">
        <x:v>Cormorant</x:v>
      </x:c>
      <x:c r="B35" s="58" t="str">
        <x:v>Lemon Sorbet 4 oz</x:v>
      </x:c>
      <x:c r="C35" s="58" t="str">
        <x:v>Lemon</x:v>
      </x:c>
      <x:c r="D35" s="58" t="str">
        <x:v>THC Only</x:v>
      </x:c>
      <x:c r="E35" s="58" t="str">
        <x:v>Sativa Hybrid</x:v>
      </x:c>
      <x:c r="F35" s="58" t="str">
        <x:v>Sorbet</x:v>
      </x:c>
      <x:c r="G35" s="59" t="str">
        <x:v>4 oz</x:v>
      </x:c>
      <x:c r="H35" s="59" t="str">
        <x:v>THC Only</x:v>
      </x:c>
      <x:c r="I35" s="58"/>
      <x:c r="J35" s="60" t="n">
        <x:v>10</x:v>
      </x:c>
      <x:c r="K35" s="60" t="n">
        <x:f>J35*$T35</x:f>
        <x:v>100</x:v>
      </x:c>
      <x:c r="L35" s="60" t="n">
        <x:v>0</x:v>
      </x:c>
      <x:c r="M35" s="60" t="n">
        <x:f>L35*$T35</x:f>
        <x:v>0</x:v>
      </x:c>
      <x:c r="N35" s="60" t="n">
        <x:v>0</x:v>
      </x:c>
      <x:c r="O35" s="60" t="n">
        <x:f>N35*$T35</x:f>
        <x:v>0</x:v>
      </x:c>
      <x:c r="P35" s="60" t="n">
        <x:v>0</x:v>
      </x:c>
      <x:c r="Q35" s="60" t="n">
        <x:f>P35*$T35</x:f>
        <x:v>0</x:v>
      </x:c>
      <x:c r="R35" s="60" t="n">
        <x:v>0</x:v>
      </x:c>
      <x:c r="S35" s="60" t="n">
        <x:f>R35*$T35</x:f>
        <x:v>0</x:v>
      </x:c>
      <x:c r="T35" s="61" t="n">
        <x:v>10</x:v>
      </x:c>
      <x:c r="U35" s="58" t="str">
        <x:v>$8.49</x:v>
      </x:c>
      <x:c r="V35" s="52" t="str">
        <x:v>Clean lemon acidity gives the frozen base a classic tart-sorbet profile with a refreshing finish and little heaviness.</x:v>
      </x:c>
      <x:c r="W35" s="52" t="str">
        <x:v>https://www.greenworkscannabis.com/projects-7</x:v>
      </x:c>
      <x:c r="X35" t="str">
        <x:v>Weight</x:v>
      </x:c>
      <x:c r="Y35" s="67" t="n">
        <x:v>4</x:v>
      </x:c>
      <x:c r="Z35" t="str">
        <x:v>oz</x:v>
      </x:c>
      <x:c r="AA35" s="68" t="n">
        <x:f>IF(ISNUMBER(Y35),ROUNDDOWN(Y35*28.349523125,1),"")</x:f>
        <x:v>113.3</x:v>
      </x:c>
      <x:c r="AB35" t="str">
        <x:v>g</x:v>
      </x:c>
      <x:c r="AC35" s="67" t="n">
        <x:f>IF(AND(ISNUMBER(AA35),ISNUMBER(T35),T35&gt;0),AA35/T35,"")</x:f>
        <x:v>11.33</x:v>
      </x:c>
      <x:c r="AD35" s="43" t="str">
        <x:v>Catalog-declared size; normalized as net weight for semi-solid/food form</x:v>
      </x:c>
      <x:c r="AE35" s="43" t="str">
        <x:v>https://www.greenworkscannabis.com/projects-7</x:v>
      </x:c>
      <x:c r="AF35" t="str">
        <x:f>"Net Wt. "&amp;TEXT(Y35,"0.##")&amp;" oz ("&amp;TEXT(AA35,"0.#")&amp;" g)"</x:f>
        <x:v>Net Wt. 4. oz (113.3 g)</x:v>
      </x:c>
      <x:c r="AG35" s="67" t="n">
        <x:f>IF(AND(ISNUMBER(Y35),ISNUMBER(T35),T35&gt;0),Y35/T35,"")</x:f>
        <x:v>0.4</x:v>
      </x:c>
      <x:c r="AH35" t="str">
        <x:f>IF(AG35="","",TEXT(AG35,"0.##")&amp;" oz ("&amp;TEXT(AC35,"0.#")&amp;" g)")</x:f>
        <x:v>0.4 oz (11.3 g)</x:v>
      </x:c>
      <x:c r="AI35" s="43" t="str">
        <x:v>Not treated as liquid-beverage packaging rule in this catalog; use actual licensed product classification</x:v>
      </x:c>
      <x:c r="AJ35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6" s="20" customFormat="1" ht="34" customHeight="1">
      <x:c r="A36" s="58" t="str">
        <x:v>Cormorant</x:v>
      </x:c>
      <x:c r="B36" s="58" t="str">
        <x:v>Mango Sorbet 4 oz</x:v>
      </x:c>
      <x:c r="C36" s="58" t="str">
        <x:v>Mango</x:v>
      </x:c>
      <x:c r="D36" s="58" t="str">
        <x:v>THC Only</x:v>
      </x:c>
      <x:c r="E36" s="58" t="str">
        <x:v>Sativa Hybrid</x:v>
      </x:c>
      <x:c r="F36" s="58" t="str">
        <x:v>Sorbet</x:v>
      </x:c>
      <x:c r="G36" s="59" t="str">
        <x:v>4 oz</x:v>
      </x:c>
      <x:c r="H36" s="59" t="str">
        <x:v>THC Only</x:v>
      </x:c>
      <x:c r="I36" s="58"/>
      <x:c r="J36" s="60" t="n">
        <x:v>10</x:v>
      </x:c>
      <x:c r="K36" s="60" t="n">
        <x:f>J36*$T36</x:f>
        <x:v>100</x:v>
      </x:c>
      <x:c r="L36" s="60" t="n">
        <x:v>0</x:v>
      </x:c>
      <x:c r="M36" s="60" t="n">
        <x:f>L36*$T36</x:f>
        <x:v>0</x:v>
      </x:c>
      <x:c r="N36" s="60" t="n">
        <x:v>0</x:v>
      </x:c>
      <x:c r="O36" s="60" t="n">
        <x:f>N36*$T36</x:f>
        <x:v>0</x:v>
      </x:c>
      <x:c r="P36" s="60" t="n">
        <x:v>0</x:v>
      </x:c>
      <x:c r="Q36" s="60" t="n">
        <x:f>P36*$T36</x:f>
        <x:v>0</x:v>
      </x:c>
      <x:c r="R36" s="60" t="n">
        <x:v>0</x:v>
      </x:c>
      <x:c r="S36" s="60" t="n">
        <x:f>R36*$T36</x:f>
        <x:v>0</x:v>
      </x:c>
      <x:c r="T36" s="61" t="n">
        <x:v>10</x:v>
      </x:c>
      <x:c r="U36" s="58" t="str">
        <x:v>$8.99</x:v>
      </x:c>
      <x:c r="V36" s="52" t="str">
        <x:v>Ripe mango makes this the lushest of the frozen flavors, with tropical sweetness and a smooth, refreshing finish.</x:v>
      </x:c>
      <x:c r="W36" s="52" t="str">
        <x:v>https://www.reddit.com/r/420/comments/1ixwmz9</x:v>
      </x:c>
      <x:c r="X36" t="str">
        <x:v>Weight</x:v>
      </x:c>
      <x:c r="Y36" s="67" t="n">
        <x:v>4</x:v>
      </x:c>
      <x:c r="Z36" t="str">
        <x:v>oz</x:v>
      </x:c>
      <x:c r="AA36" s="68" t="n">
        <x:f>IF(ISNUMBER(Y36),ROUNDDOWN(Y36*28.349523125,1),"")</x:f>
        <x:v>113.3</x:v>
      </x:c>
      <x:c r="AB36" t="str">
        <x:v>g</x:v>
      </x:c>
      <x:c r="AC36" s="67" t="n">
        <x:f>IF(AND(ISNUMBER(AA36),ISNUMBER(T36),T36&gt;0),AA36/T36,"")</x:f>
        <x:v>11.33</x:v>
      </x:c>
      <x:c r="AD36" s="43" t="str">
        <x:v>Catalog-declared size; normalized as net weight for semi-solid/food form</x:v>
      </x:c>
      <x:c r="AE36" s="43" t="str">
        <x:v>https://www.reddit.com/r/420/comments/1ixwmz9</x:v>
      </x:c>
      <x:c r="AF36" t="str">
        <x:f>"Net Wt. "&amp;TEXT(Y36,"0.##")&amp;" oz ("&amp;TEXT(AA36,"0.#")&amp;" g)"</x:f>
        <x:v>Net Wt. 4. oz (113.3 g)</x:v>
      </x:c>
      <x:c r="AG36" s="67" t="n">
        <x:f>IF(AND(ISNUMBER(Y36),ISNUMBER(T36),T36&gt;0),Y36/T36,"")</x:f>
        <x:v>0.4</x:v>
      </x:c>
      <x:c r="AH36" t="str">
        <x:f>IF(AG36="","",TEXT(AG36,"0.##")&amp;" oz ("&amp;TEXT(AC36,"0.#")&amp;" g)")</x:f>
        <x:v>0.4 oz (11.3 g)</x:v>
      </x:c>
      <x:c r="AI36" s="43" t="str">
        <x:v>Not treated as liquid-beverage packaging rule in this catalog; use actual licensed product classification</x:v>
      </x:c>
      <x:c r="AJ36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7" s="20" customFormat="1" ht="34" customHeight="1">
      <x:c r="A37" s="58" t="str">
        <x:v>Cormorant</x:v>
      </x:c>
      <x:c r="B37" s="58" t="str">
        <x:v>Strawberry Lemonade Sorbet 4 oz</x:v>
      </x:c>
      <x:c r="C37" s="58" t="str">
        <x:v>Strawberry Lemonade</x:v>
      </x:c>
      <x:c r="D37" s="58" t="str">
        <x:v>Blend</x:v>
      </x:c>
      <x:c r="E37" s="58" t="str">
        <x:v>Holistic</x:v>
      </x:c>
      <x:c r="F37" s="58" t="str">
        <x:v>Sorbet</x:v>
      </x:c>
      <x:c r="G37" s="59" t="str">
        <x:v>4 oz</x:v>
      </x:c>
      <x:c r="H37" s="59" t="str">
        <x:v>THC:CBD</x:v>
      </x:c>
      <x:c r="I37" s="58" t="str">
        <x:v>1:1</x:v>
      </x:c>
      <x:c r="J37" s="60" t="n">
        <x:v>10</x:v>
      </x:c>
      <x:c r="K37" s="60" t="n">
        <x:f>J37*$T37</x:f>
        <x:v>100</x:v>
      </x:c>
      <x:c r="L37" s="60" t="n">
        <x:v>10</x:v>
      </x:c>
      <x:c r="M37" s="60" t="n">
        <x:f>L37*$T37</x:f>
        <x:v>100</x:v>
      </x:c>
      <x:c r="N37" s="60" t="n">
        <x:v>0</x:v>
      </x:c>
      <x:c r="O37" s="60" t="n">
        <x:f>N37*$T37</x:f>
        <x:v>0</x:v>
      </x:c>
      <x:c r="P37" s="60" t="n">
        <x:v>0</x:v>
      </x:c>
      <x:c r="Q37" s="60" t="n">
        <x:f>P37*$T37</x:f>
        <x:v>0</x:v>
      </x:c>
      <x:c r="R37" s="60" t="n">
        <x:v>0</x:v>
      </x:c>
      <x:c r="S37" s="60" t="n">
        <x:f>R37*$T37</x:f>
        <x:v>0</x:v>
      </x:c>
      <x:c r="T37" s="61" t="n">
        <x:v>10</x:v>
      </x:c>
      <x:c r="U37" s="58" t="str">
        <x:v>$12.99</x:v>
      </x:c>
      <x:c r="V37" s="52" t="str">
        <x:v>Sweet strawberry softens tart lemonade in a frozen blend that stays bright, fruity, and easy to spoon.</x:v>
      </x:c>
      <x:c r="W37" s="52" t="str">
        <x:v>https://www.greenworkscannabis.com/projects-7</x:v>
      </x:c>
      <x:c r="X37" t="str">
        <x:v>Weight</x:v>
      </x:c>
      <x:c r="Y37" s="67" t="n">
        <x:v>4</x:v>
      </x:c>
      <x:c r="Z37" t="str">
        <x:v>oz</x:v>
      </x:c>
      <x:c r="AA37" s="68" t="n">
        <x:f>IF(ISNUMBER(Y37),ROUNDDOWN(Y37*28.349523125,1),"")</x:f>
        <x:v>113.3</x:v>
      </x:c>
      <x:c r="AB37" t="str">
        <x:v>g</x:v>
      </x:c>
      <x:c r="AC37" s="67" t="n">
        <x:f>IF(AND(ISNUMBER(AA37),ISNUMBER(T37),T37&gt;0),AA37/T37,"")</x:f>
        <x:v>11.33</x:v>
      </x:c>
      <x:c r="AD37" s="43" t="str">
        <x:v>Catalog-declared size; normalized as net weight for semi-solid/food form</x:v>
      </x:c>
      <x:c r="AE37" s="43" t="str">
        <x:v>https://www.greenworkscannabis.com/projects-7</x:v>
      </x:c>
      <x:c r="AF37" t="str">
        <x:f>"Net Wt. "&amp;TEXT(Y37,"0.##")&amp;" oz ("&amp;TEXT(AA37,"0.#")&amp;" g)"</x:f>
        <x:v>Net Wt. 4. oz (113.3 g)</x:v>
      </x:c>
      <x:c r="AG37" s="67" t="n">
        <x:f>IF(AND(ISNUMBER(Y37),ISNUMBER(T37),T37&gt;0),Y37/T37,"")</x:f>
        <x:v>0.4</x:v>
      </x:c>
      <x:c r="AH37" t="str">
        <x:f>IF(AG37="","",TEXT(AG37,"0.##")&amp;" oz ("&amp;TEXT(AC37,"0.#")&amp;" g)")</x:f>
        <x:v>0.4 oz (11.3 g)</x:v>
      </x:c>
      <x:c r="AI37" s="43" t="str">
        <x:v>Not treated as liquid-beverage packaging rule in this catalog; use actual licensed product classification</x:v>
      </x:c>
      <x:c r="AJ37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8" s="20" customFormat="1" ht="34" customHeight="1">
      <x:c r="A38" s="58" t="str">
        <x:v>Cormorant</x:v>
      </x:c>
      <x:c r="B38" s="58" t="str">
        <x:v>Blackberry Sorbet 4 oz</x:v>
      </x:c>
      <x:c r="C38" s="58" t="str">
        <x:v>Blackberry</x:v>
      </x:c>
      <x:c r="D38" s="58" t="str">
        <x:v>CBD</x:v>
      </x:c>
      <x:c r="E38" s="58" t="str">
        <x:v>Holistic</x:v>
      </x:c>
      <x:c r="F38" s="58" t="str">
        <x:v>Sorbet</x:v>
      </x:c>
      <x:c r="G38" s="59" t="str">
        <x:v>4 oz</x:v>
      </x:c>
      <x:c r="H38" s="59" t="str">
        <x:v>CBD Only</x:v>
      </x:c>
      <x:c r="I38" s="58"/>
      <x:c r="J38" s="60" t="n">
        <x:v>0</x:v>
      </x:c>
      <x:c r="K38" s="60" t="n">
        <x:f>J38*$T38</x:f>
        <x:v>0</x:v>
      </x:c>
      <x:c r="L38" s="60" t="n">
        <x:v>10</x:v>
      </x:c>
      <x:c r="M38" s="60" t="n">
        <x:f>L38*$T38</x:f>
        <x:v>100</x:v>
      </x:c>
      <x:c r="N38" s="60" t="n">
        <x:v>0</x:v>
      </x:c>
      <x:c r="O38" s="60" t="n">
        <x:f>N38*$T38</x:f>
        <x:v>0</x:v>
      </x:c>
      <x:c r="P38" s="60" t="n">
        <x:v>0</x:v>
      </x:c>
      <x:c r="Q38" s="60" t="n">
        <x:f>P38*$T38</x:f>
        <x:v>0</x:v>
      </x:c>
      <x:c r="R38" s="60" t="n">
        <x:v>0</x:v>
      </x:c>
      <x:c r="S38" s="60" t="n">
        <x:f>R38*$T38</x:f>
        <x:v>0</x:v>
      </x:c>
      <x:c r="T38" s="61" t="n">
        <x:v>10</x:v>
      </x:c>
      <x:c r="U38" s="58" t="str">
        <x:v>$10.99</x:v>
      </x:c>
      <x:c r="V38" s="52" t="str">
        <x:v>Dark blackberry gives the sorbet a deeper berry flavor with a pleasant tartness that keeps the frozen sweetness balanced.</x:v>
      </x:c>
      <x:c r="W38" s="52" t="str">
        <x:v>https://www.greenworkscannabis.com/projects-7</x:v>
      </x:c>
      <x:c r="X38" t="str">
        <x:v>Weight</x:v>
      </x:c>
      <x:c r="Y38" s="67" t="n">
        <x:v>4</x:v>
      </x:c>
      <x:c r="Z38" t="str">
        <x:v>oz</x:v>
      </x:c>
      <x:c r="AA38" s="68" t="n">
        <x:f>IF(ISNUMBER(Y38),ROUNDDOWN(Y38*28.349523125,1),"")</x:f>
        <x:v>113.3</x:v>
      </x:c>
      <x:c r="AB38" t="str">
        <x:v>g</x:v>
      </x:c>
      <x:c r="AC38" s="67" t="n">
        <x:f>IF(AND(ISNUMBER(AA38),ISNUMBER(T38),T38&gt;0),AA38/T38,"")</x:f>
        <x:v>11.33</x:v>
      </x:c>
      <x:c r="AD38" s="43" t="str">
        <x:v>Catalog-declared size; normalized as net weight for semi-solid/food form</x:v>
      </x:c>
      <x:c r="AE38" s="43" t="str">
        <x:v>https://www.greenworkscannabis.com/projects-7</x:v>
      </x:c>
      <x:c r="AF38" t="str">
        <x:f>"Net Wt. "&amp;TEXT(Y38,"0.##")&amp;" oz ("&amp;TEXT(AA38,"0.#")&amp;" g)"</x:f>
        <x:v>Net Wt. 4. oz (113.3 g)</x:v>
      </x:c>
      <x:c r="AG38" s="67" t="n">
        <x:f>IF(AND(ISNUMBER(Y38),ISNUMBER(T38),T38&gt;0),Y38/T38,"")</x:f>
        <x:v>0.4</x:v>
      </x:c>
      <x:c r="AH38" t="str">
        <x:f>IF(AG38="","",TEXT(AG38,"0.##")&amp;" oz ("&amp;TEXT(AC38,"0.#")&amp;" g)")</x:f>
        <x:v>0.4 oz (11.3 g)</x:v>
      </x:c>
      <x:c r="AI38" s="43" t="str">
        <x:v>Not treated as liquid-beverage packaging rule in this catalog; use actual licensed product classification</x:v>
      </x:c>
      <x:c r="AJ38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39" s="20" customFormat="1" ht="34" customHeight="1">
      <x:c r="A39" s="58" t="str">
        <x:v>Mary Jones</x:v>
      </x:c>
      <x:c r="B39" s="58" t="str">
        <x:v>Root Beer 16 oz</x:v>
      </x:c>
      <x:c r="C39" s="58" t="str">
        <x:v>Root Beer</x:v>
      </x:c>
      <x:c r="D39" s="58" t="str">
        <x:v>THC Only</x:v>
      </x:c>
      <x:c r="E39" s="58" t="str">
        <x:v>Indica Hybrid</x:v>
      </x:c>
      <x:c r="F39" s="58" t="str">
        <x:v>Drink</x:v>
      </x:c>
      <x:c r="G39" s="59" t="str">
        <x:v>16 oz</x:v>
      </x:c>
      <x:c r="H39" s="59" t="str">
        <x:v>THC Only</x:v>
      </x:c>
      <x:c r="I39" s="58"/>
      <x:c r="J39" s="60" t="n">
        <x:v>10</x:v>
      </x:c>
      <x:c r="K39" s="60" t="n">
        <x:f>J39*$T39</x:f>
        <x:v>100</x:v>
      </x:c>
      <x:c r="L39" s="60" t="n">
        <x:v>0</x:v>
      </x:c>
      <x:c r="M39" s="60" t="n">
        <x:f>L39*$T39</x:f>
        <x:v>0</x:v>
      </x:c>
      <x:c r="N39" s="60" t="n">
        <x:v>0</x:v>
      </x:c>
      <x:c r="O39" s="60" t="n">
        <x:f>N39*$T39</x:f>
        <x:v>0</x:v>
      </x:c>
      <x:c r="P39" s="60" t="n">
        <x:v>0</x:v>
      </x:c>
      <x:c r="Q39" s="60" t="n">
        <x:f>P39*$T39</x:f>
        <x:v>0</x:v>
      </x:c>
      <x:c r="R39" s="60" t="n">
        <x:v>0</x:v>
      </x:c>
      <x:c r="S39" s="60" t="n">
        <x:f>R39*$T39</x:f>
        <x:v>0</x:v>
      </x:c>
      <x:c r="T39" s="61" t="n">
        <x:v>10</x:v>
      </x:c>
      <x:c r="U39" s="58" t="str">
        <x:v>$19.99</x:v>
      </x:c>
      <x:c r="V39" s="52" t="str">
        <x:v>Vanilla, wintergreen, and warm spice give this infused soda the familiar depth of an old-school root beer.</x:v>
      </x:c>
      <x:c r="W39" s="52" t="str">
        <x:v>https://maryjonescannabis.com/</x:v>
      </x:c>
      <x:c r="X39" t="str">
        <x:v>Volume</x:v>
      </x:c>
      <x:c r="Y39" s="67" t="n">
        <x:v>16</x:v>
      </x:c>
      <x:c r="Z39" t="str">
        <x:v>fl oz</x:v>
      </x:c>
      <x:c r="AA39" s="68" t="n">
        <x:f>IF(ISNUMBER(Y39),ROUNDDOWN(Y39*29.5735295625,0),"")</x:f>
        <x:v>473</x:v>
      </x:c>
      <x:c r="AB39" t="str">
        <x:v>mL</x:v>
      </x:c>
      <x:c r="AC39" s="67" t="n">
        <x:f>IF(AND(ISNUMBER(AA39),ISNUMBER(T39),T39&gt;0),AA39/T39,"")</x:f>
        <x:v>47.3</x:v>
      </x:c>
      <x:c r="AD39" s="43" t="str">
        <x:v>Catalog-declared size; normalized to fluid volume</x:v>
      </x:c>
      <x:c r="AE39" s="43" t="str">
        <x:v>https://maryjonescannabis.com/</x:v>
      </x:c>
      <x:c r="AF39" t="str">
        <x:f>"Net Vol. "&amp;TEXT(Y39,"0.##")&amp;" fl oz ("&amp;TEXT(AA39,"0.#")&amp;" mL)"</x:f>
        <x:v>Net Vol. 16. fl oz (473. mL)</x:v>
      </x:c>
      <x:c r="AG39" s="67" t="n">
        <x:f>IF(AND(ISNUMBER(Y39),ISNUMBER(T39),T39&gt;0),Y39/T39,"")</x:f>
        <x:v>1.6</x:v>
      </x:c>
      <x:c r="AH39" t="str">
        <x:f>IF(AG39="","",TEXT(AG39,"0.##")&amp;" fl oz ("&amp;TEXT(AC39,"0.#")&amp;" mL)")</x:f>
        <x:v>1.6 fl oz (47.3 mL)</x:v>
      </x:c>
      <x:c r="AI39" s="43" t="str">
        <x:v>Multi-serving liquid: resealable closure/cap + measuring device or package markings required</x:v>
      </x:c>
      <x:c r="AJ39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0" s="20" customFormat="1" ht="34" customHeight="1">
      <x:c r="A40" s="58" t="str">
        <x:v>Mary Jones</x:v>
      </x:c>
      <x:c r="B40" s="58" t="str">
        <x:v>Berry Lemonade 16 oz</x:v>
      </x:c>
      <x:c r="C40" s="58" t="str">
        <x:v>Berry Lemonade</x:v>
      </x:c>
      <x:c r="D40" s="58" t="str">
        <x:v>THC Only</x:v>
      </x:c>
      <x:c r="E40" s="58" t="str">
        <x:v>Sativa Hybrid</x:v>
      </x:c>
      <x:c r="F40" s="58" t="str">
        <x:v>Drink</x:v>
      </x:c>
      <x:c r="G40" s="59" t="str">
        <x:v>16 oz</x:v>
      </x:c>
      <x:c r="H40" s="59" t="str">
        <x:v>THC Only</x:v>
      </x:c>
      <x:c r="I40" s="58"/>
      <x:c r="J40" s="60" t="n">
        <x:v>10</x:v>
      </x:c>
      <x:c r="K40" s="60" t="n">
        <x:f>J40*$T40</x:f>
        <x:v>100</x:v>
      </x:c>
      <x:c r="L40" s="60" t="n">
        <x:v>0</x:v>
      </x:c>
      <x:c r="M40" s="60" t="n">
        <x:f>L40*$T40</x:f>
        <x:v>0</x:v>
      </x:c>
      <x:c r="N40" s="60" t="n">
        <x:v>0</x:v>
      </x:c>
      <x:c r="O40" s="60" t="n">
        <x:f>N40*$T40</x:f>
        <x:v>0</x:v>
      </x:c>
      <x:c r="P40" s="60" t="n">
        <x:v>0</x:v>
      </x:c>
      <x:c r="Q40" s="60" t="n">
        <x:f>P40*$T40</x:f>
        <x:v>0</x:v>
      </x:c>
      <x:c r="R40" s="60" t="n">
        <x:v>0</x:v>
      </x:c>
      <x:c r="S40" s="60" t="n">
        <x:f>R40*$T40</x:f>
        <x:v>0</x:v>
      </x:c>
      <x:c r="T40" s="61" t="n">
        <x:v>10</x:v>
      </x:c>
      <x:c r="U40" s="58" t="str">
        <x:v>$19.99</x:v>
      </x:c>
      <x:c r="V40" s="52" t="str">
        <x:v>Mixed berry sweetness rides over bright lemon acidity for a soda that lands fruity first and tart on the finish.</x:v>
      </x:c>
      <x:c r="W40" s="52" t="str">
        <x:v>https://maryjonescannabis.com/</x:v>
      </x:c>
      <x:c r="X40" t="str">
        <x:v>Volume</x:v>
      </x:c>
      <x:c r="Y40" s="67" t="n">
        <x:v>16</x:v>
      </x:c>
      <x:c r="Z40" t="str">
        <x:v>fl oz</x:v>
      </x:c>
      <x:c r="AA40" s="68" t="n">
        <x:f>IF(ISNUMBER(Y40),ROUNDDOWN(Y40*29.5735295625,0),"")</x:f>
        <x:v>473</x:v>
      </x:c>
      <x:c r="AB40" t="str">
        <x:v>mL</x:v>
      </x:c>
      <x:c r="AC40" s="67" t="n">
        <x:f>IF(AND(ISNUMBER(AA40),ISNUMBER(T40),T40&gt;0),AA40/T40,"")</x:f>
        <x:v>47.3</x:v>
      </x:c>
      <x:c r="AD40" s="43" t="str">
        <x:v>Catalog-declared size; normalized to fluid volume</x:v>
      </x:c>
      <x:c r="AE40" s="43" t="str">
        <x:v>https://maryjonescannabis.com/</x:v>
      </x:c>
      <x:c r="AF40" t="str">
        <x:f>"Net Vol. "&amp;TEXT(Y40,"0.##")&amp;" fl oz ("&amp;TEXT(AA40,"0.#")&amp;" mL)"</x:f>
        <x:v>Net Vol. 16. fl oz (473. mL)</x:v>
      </x:c>
      <x:c r="AG40" s="67" t="n">
        <x:f>IF(AND(ISNUMBER(Y40),ISNUMBER(T40),T40&gt;0),Y40/T40,"")</x:f>
        <x:v>1.6</x:v>
      </x:c>
      <x:c r="AH40" t="str">
        <x:f>IF(AG40="","",TEXT(AG40,"0.##")&amp;" fl oz ("&amp;TEXT(AC40,"0.#")&amp;" mL)")</x:f>
        <x:v>1.6 fl oz (47.3 mL)</x:v>
      </x:c>
      <x:c r="AI40" s="43" t="str">
        <x:v>Multi-serving liquid: resealable closure/cap + measuring device or package markings required</x:v>
      </x:c>
      <x:c r="AJ40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1" s="20" customFormat="1" ht="34" customHeight="1">
      <x:c r="A41" s="58" t="str">
        <x:v>Mary Jones</x:v>
      </x:c>
      <x:c r="B41" s="58" t="str">
        <x:v>Green Apple 16 oz</x:v>
      </x:c>
      <x:c r="C41" s="58" t="str">
        <x:v>Green Apple</x:v>
      </x:c>
      <x:c r="D41" s="58" t="str">
        <x:v>THC Only</x:v>
      </x:c>
      <x:c r="E41" s="58" t="str">
        <x:v>Hybrid</x:v>
      </x:c>
      <x:c r="F41" s="58" t="str">
        <x:v>Drink</x:v>
      </x:c>
      <x:c r="G41" s="59" t="str">
        <x:v>16 oz</x:v>
      </x:c>
      <x:c r="H41" s="59" t="str">
        <x:v>THC Only</x:v>
      </x:c>
      <x:c r="I41" s="58"/>
      <x:c r="J41" s="60" t="n">
        <x:v>10</x:v>
      </x:c>
      <x:c r="K41" s="60" t="n">
        <x:f>J41*$T41</x:f>
        <x:v>100</x:v>
      </x:c>
      <x:c r="L41" s="60" t="n">
        <x:v>0</x:v>
      </x:c>
      <x:c r="M41" s="60" t="n">
        <x:f>L41*$T41</x:f>
        <x:v>0</x:v>
      </x:c>
      <x:c r="N41" s="60" t="n">
        <x:v>0</x:v>
      </x:c>
      <x:c r="O41" s="60" t="n">
        <x:f>N41*$T41</x:f>
        <x:v>0</x:v>
      </x:c>
      <x:c r="P41" s="60" t="n">
        <x:v>0</x:v>
      </x:c>
      <x:c r="Q41" s="60" t="n">
        <x:f>P41*$T41</x:f>
        <x:v>0</x:v>
      </x:c>
      <x:c r="R41" s="60" t="n">
        <x:v>0</x:v>
      </x:c>
      <x:c r="S41" s="60" t="n">
        <x:f>R41*$T41</x:f>
        <x:v>0</x:v>
      </x:c>
      <x:c r="T41" s="61" t="n">
        <x:v>10</x:v>
      </x:c>
      <x:c r="U41" s="58" t="str">
        <x:v>$19.99</x:v>
      </x:c>
      <x:c r="V41" s="52" t="str">
        <x:v>Crisp green apple leans deliberately candy-like, with a sour edge that keeps the full-size soda lively.</x:v>
      </x:c>
      <x:c r="W41" s="52" t="str">
        <x:v>https://maryjonescannabis.com/</x:v>
      </x:c>
      <x:c r="X41" t="str">
        <x:v>Volume</x:v>
      </x:c>
      <x:c r="Y41" s="67" t="n">
        <x:v>16</x:v>
      </x:c>
      <x:c r="Z41" t="str">
        <x:v>fl oz</x:v>
      </x:c>
      <x:c r="AA41" s="68" t="n">
        <x:f>IF(ISNUMBER(Y41),ROUNDDOWN(Y41*29.5735295625,0),"")</x:f>
        <x:v>473</x:v>
      </x:c>
      <x:c r="AB41" t="str">
        <x:v>mL</x:v>
      </x:c>
      <x:c r="AC41" s="67" t="n">
        <x:f>IF(AND(ISNUMBER(AA41),ISNUMBER(T41),T41&gt;0),AA41/T41,"")</x:f>
        <x:v>47.3</x:v>
      </x:c>
      <x:c r="AD41" s="43" t="str">
        <x:v>Catalog-declared size; normalized to fluid volume</x:v>
      </x:c>
      <x:c r="AE41" s="43" t="str">
        <x:v>https://maryjonescannabis.com/</x:v>
      </x:c>
      <x:c r="AF41" t="str">
        <x:f>"Net Vol. "&amp;TEXT(Y41,"0.##")&amp;" fl oz ("&amp;TEXT(AA41,"0.#")&amp;" mL)"</x:f>
        <x:v>Net Vol. 16. fl oz (473. mL)</x:v>
      </x:c>
      <x:c r="AG41" s="67" t="n">
        <x:f>IF(AND(ISNUMBER(Y41),ISNUMBER(T41),T41&gt;0),Y41/T41,"")</x:f>
        <x:v>1.6</x:v>
      </x:c>
      <x:c r="AH41" t="str">
        <x:f>IF(AG41="","",TEXT(AG41,"0.##")&amp;" fl oz ("&amp;TEXT(AC41,"0.#")&amp;" mL)")</x:f>
        <x:v>1.6 fl oz (47.3 mL)</x:v>
      </x:c>
      <x:c r="AI41" s="43" t="str">
        <x:v>Multi-serving liquid: resealable closure/cap + measuring device or package markings required</x:v>
      </x:c>
      <x:c r="AJ41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2" s="20" customFormat="1" ht="34" customHeight="1">
      <x:c r="A42" s="58" t="str">
        <x:v>Mary Jones</x:v>
      </x:c>
      <x:c r="B42" s="58" t="str">
        <x:v>Orange &amp; Cream 16 oz</x:v>
      </x:c>
      <x:c r="C42" s="58" t="str">
        <x:v>Orange &amp; Cream</x:v>
      </x:c>
      <x:c r="D42" s="58" t="str">
        <x:v>THC Only</x:v>
      </x:c>
      <x:c r="E42" s="58" t="str">
        <x:v>Sativa</x:v>
      </x:c>
      <x:c r="F42" s="58" t="str">
        <x:v>Drink</x:v>
      </x:c>
      <x:c r="G42" s="59" t="str">
        <x:v>16 oz</x:v>
      </x:c>
      <x:c r="H42" s="59" t="str">
        <x:v>THC Only</x:v>
      </x:c>
      <x:c r="I42" s="58"/>
      <x:c r="J42" s="60" t="n">
        <x:v>10</x:v>
      </x:c>
      <x:c r="K42" s="60" t="n">
        <x:f>J42*$T42</x:f>
        <x:v>100</x:v>
      </x:c>
      <x:c r="L42" s="60" t="n">
        <x:v>0</x:v>
      </x:c>
      <x:c r="M42" s="60" t="n">
        <x:f>L42*$T42</x:f>
        <x:v>0</x:v>
      </x:c>
      <x:c r="N42" s="60" t="n">
        <x:v>0</x:v>
      </x:c>
      <x:c r="O42" s="60" t="n">
        <x:f>N42*$T42</x:f>
        <x:v>0</x:v>
      </x:c>
      <x:c r="P42" s="60" t="n">
        <x:v>0</x:v>
      </x:c>
      <x:c r="Q42" s="60" t="n">
        <x:f>P42*$T42</x:f>
        <x:v>0</x:v>
      </x:c>
      <x:c r="R42" s="60" t="n">
        <x:v>0</x:v>
      </x:c>
      <x:c r="S42" s="60" t="n">
        <x:f>R42*$T42</x:f>
        <x:v>0</x:v>
      </x:c>
      <x:c r="T42" s="61" t="n">
        <x:v>10</x:v>
      </x:c>
      <x:c r="U42" s="58" t="str">
        <x:v>$19.99</x:v>
      </x:c>
      <x:c r="V42" s="52" t="str">
        <x:v>Sweet orange soda folds into smooth vanilla cream for a nostalgic creamsicle-style profile.</x:v>
      </x:c>
      <x:c r="W42" s="52" t="str">
        <x:v>https://maryjonescannabis.com/</x:v>
      </x:c>
      <x:c r="X42" t="str">
        <x:v>Volume</x:v>
      </x:c>
      <x:c r="Y42" s="67" t="n">
        <x:v>16</x:v>
      </x:c>
      <x:c r="Z42" t="str">
        <x:v>fl oz</x:v>
      </x:c>
      <x:c r="AA42" s="68" t="n">
        <x:f>IF(ISNUMBER(Y42),ROUNDDOWN(Y42*29.5735295625,0),"")</x:f>
        <x:v>473</x:v>
      </x:c>
      <x:c r="AB42" t="str">
        <x:v>mL</x:v>
      </x:c>
      <x:c r="AC42" s="67" t="n">
        <x:f>IF(AND(ISNUMBER(AA42),ISNUMBER(T42),T42&gt;0),AA42/T42,"")</x:f>
        <x:v>47.3</x:v>
      </x:c>
      <x:c r="AD42" s="43" t="str">
        <x:v>Catalog-declared size; normalized to fluid volume</x:v>
      </x:c>
      <x:c r="AE42" s="43" t="str">
        <x:v>https://maryjonescannabis.com/</x:v>
      </x:c>
      <x:c r="AF42" t="str">
        <x:f>"Net Vol. "&amp;TEXT(Y42,"0.##")&amp;" fl oz ("&amp;TEXT(AA42,"0.#")&amp;" mL)"</x:f>
        <x:v>Net Vol. 16. fl oz (473. mL)</x:v>
      </x:c>
      <x:c r="AG42" s="67" t="n">
        <x:f>IF(AND(ISNUMBER(Y42),ISNUMBER(T42),T42&gt;0),Y42/T42,"")</x:f>
        <x:v>1.6</x:v>
      </x:c>
      <x:c r="AH42" t="str">
        <x:f>IF(AG42="","",TEXT(AG42,"0.##")&amp;" fl oz ("&amp;TEXT(AC42,"0.#")&amp;" mL)")</x:f>
        <x:v>1.6 fl oz (47.3 mL)</x:v>
      </x:c>
      <x:c r="AI42" s="43" t="str">
        <x:v>Multi-serving liquid: resealable closure/cap + measuring device or package markings required</x:v>
      </x:c>
      <x:c r="AJ42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3" s="20" customFormat="1" ht="34" customHeight="1">
      <x:c r="A43" s="58" t="str">
        <x:v>Mary Jones</x:v>
      </x:c>
      <x:c r="B43" s="58" t="str">
        <x:v>MF Grape 16 oz</x:v>
      </x:c>
      <x:c r="C43" s="58" t="str">
        <x:v>Grape</x:v>
      </x:c>
      <x:c r="D43" s="58" t="str">
        <x:v>THC Only</x:v>
      </x:c>
      <x:c r="E43" s="58" t="str">
        <x:v>Indica Hybrid</x:v>
      </x:c>
      <x:c r="F43" s="58" t="str">
        <x:v>Drink</x:v>
      </x:c>
      <x:c r="G43" s="59" t="str">
        <x:v>16 oz</x:v>
      </x:c>
      <x:c r="H43" s="59" t="str">
        <x:v>THC Only</x:v>
      </x:c>
      <x:c r="I43" s="58"/>
      <x:c r="J43" s="60" t="n">
        <x:v>10</x:v>
      </x:c>
      <x:c r="K43" s="60" t="n">
        <x:f>J43*$T43</x:f>
        <x:v>100</x:v>
      </x:c>
      <x:c r="L43" s="60" t="n">
        <x:v>0</x:v>
      </x:c>
      <x:c r="M43" s="60" t="n">
        <x:f>L43*$T43</x:f>
        <x:v>0</x:v>
      </x:c>
      <x:c r="N43" s="60" t="n">
        <x:v>0</x:v>
      </x:c>
      <x:c r="O43" s="60" t="n">
        <x:f>N43*$T43</x:f>
        <x:v>0</x:v>
      </x:c>
      <x:c r="P43" s="60" t="n">
        <x:v>0</x:v>
      </x:c>
      <x:c r="Q43" s="60" t="n">
        <x:f>P43*$T43</x:f>
        <x:v>0</x:v>
      </x:c>
      <x:c r="R43" s="60" t="n">
        <x:v>0</x:v>
      </x:c>
      <x:c r="S43" s="60" t="n">
        <x:f>R43*$T43</x:f>
        <x:v>0</x:v>
      </x:c>
      <x:c r="T43" s="61" t="n">
        <x:v>10</x:v>
      </x:c>
      <x:c r="U43" s="58" t="str">
        <x:v>$19.99</x:v>
      </x:c>
      <x:c r="V43" s="52" t="str">
        <x:v>Big purple-grape flavor and a soft candy finish make this an unapologetically nostalgic soda-shop pour.</x:v>
      </x:c>
      <x:c r="W43" s="52" t="str">
        <x:v>https://maryjonescannabis.com/</x:v>
      </x:c>
      <x:c r="X43" t="str">
        <x:v>Volume</x:v>
      </x:c>
      <x:c r="Y43" s="67" t="n">
        <x:v>16</x:v>
      </x:c>
      <x:c r="Z43" t="str">
        <x:v>fl oz</x:v>
      </x:c>
      <x:c r="AA43" s="68" t="n">
        <x:f>IF(ISNUMBER(Y43),ROUNDDOWN(Y43*29.5735295625,0),"")</x:f>
        <x:v>473</x:v>
      </x:c>
      <x:c r="AB43" t="str">
        <x:v>mL</x:v>
      </x:c>
      <x:c r="AC43" s="67" t="n">
        <x:f>IF(AND(ISNUMBER(AA43),ISNUMBER(T43),T43&gt;0),AA43/T43,"")</x:f>
        <x:v>47.3</x:v>
      </x:c>
      <x:c r="AD43" s="43" t="str">
        <x:v>Catalog-declared size; normalized to fluid volume</x:v>
      </x:c>
      <x:c r="AE43" s="43" t="str">
        <x:v>https://maryjonescannabis.com/</x:v>
      </x:c>
      <x:c r="AF43" t="str">
        <x:f>"Net Vol. "&amp;TEXT(Y43,"0.##")&amp;" fl oz ("&amp;TEXT(AA43,"0.#")&amp;" mL)"</x:f>
        <x:v>Net Vol. 16. fl oz (473. mL)</x:v>
      </x:c>
      <x:c r="AG43" s="67" t="n">
        <x:f>IF(AND(ISNUMBER(Y43),ISNUMBER(T43),T43&gt;0),Y43/T43,"")</x:f>
        <x:v>1.6</x:v>
      </x:c>
      <x:c r="AH43" t="str">
        <x:f>IF(AG43="","",TEXT(AG43,"0.##")&amp;" fl oz ("&amp;TEXT(AC43,"0.#")&amp;" mL)")</x:f>
        <x:v>1.6 fl oz (47.3 mL)</x:v>
      </x:c>
      <x:c r="AI43" s="43" t="str">
        <x:v>Multi-serving liquid: resealable closure/cap + measuring device or package markings required</x:v>
      </x:c>
      <x:c r="AJ43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4" s="20" customFormat="1" ht="34" customHeight="1">
      <x:c r="A44" s="58" t="str">
        <x:v>Mary Jones</x:v>
      </x:c>
      <x:c r="B44" s="58" t="str">
        <x:v>Cola 16 oz</x:v>
      </x:c>
      <x:c r="C44" s="58" t="str">
        <x:v>Cola</x:v>
      </x:c>
      <x:c r="D44" s="58" t="str">
        <x:v>THC Only</x:v>
      </x:c>
      <x:c r="E44" s="58" t="str">
        <x:v>Hybrid</x:v>
      </x:c>
      <x:c r="F44" s="58" t="str">
        <x:v>Drink</x:v>
      </x:c>
      <x:c r="G44" s="59" t="str">
        <x:v>16 oz</x:v>
      </x:c>
      <x:c r="H44" s="59" t="str">
        <x:v>THC Only</x:v>
      </x:c>
      <x:c r="I44" s="58"/>
      <x:c r="J44" s="60" t="n">
        <x:v>10</x:v>
      </x:c>
      <x:c r="K44" s="60" t="n">
        <x:f>J44*$T44</x:f>
        <x:v>100</x:v>
      </x:c>
      <x:c r="L44" s="60" t="n">
        <x:v>0</x:v>
      </x:c>
      <x:c r="M44" s="60" t="n">
        <x:f>L44*$T44</x:f>
        <x:v>0</x:v>
      </x:c>
      <x:c r="N44" s="60" t="n">
        <x:v>0</x:v>
      </x:c>
      <x:c r="O44" s="60" t="n">
        <x:f>N44*$T44</x:f>
        <x:v>0</x:v>
      </x:c>
      <x:c r="P44" s="60" t="n">
        <x:v>0</x:v>
      </x:c>
      <x:c r="Q44" s="60" t="n">
        <x:f>P44*$T44</x:f>
        <x:v>0</x:v>
      </x:c>
      <x:c r="R44" s="60" t="n">
        <x:v>0</x:v>
      </x:c>
      <x:c r="S44" s="60" t="n">
        <x:f>R44*$T44</x:f>
        <x:v>0</x:v>
      </x:c>
      <x:c r="T44" s="61" t="n">
        <x:v>10</x:v>
      </x:c>
      <x:c r="U44" s="58" t="str">
        <x:v>$19.99</x:v>
      </x:c>
      <x:c r="V44" s="52" t="str">
        <x:v>Caramel sweetness, baking spice, and a light citrus edge give this cola a familiar fountain-soda character.</x:v>
      </x:c>
      <x:c r="W44" s="52" t="str">
        <x:v>https://maryjonescannabis.com/</x:v>
      </x:c>
      <x:c r="X44" t="str">
        <x:v>Volume</x:v>
      </x:c>
      <x:c r="Y44" s="67" t="n">
        <x:v>16</x:v>
      </x:c>
      <x:c r="Z44" t="str">
        <x:v>fl oz</x:v>
      </x:c>
      <x:c r="AA44" s="68" t="n">
        <x:f>IF(ISNUMBER(Y44),ROUNDDOWN(Y44*29.5735295625,0),"")</x:f>
        <x:v>473</x:v>
      </x:c>
      <x:c r="AB44" t="str">
        <x:v>mL</x:v>
      </x:c>
      <x:c r="AC44" s="67" t="n">
        <x:f>IF(AND(ISNUMBER(AA44),ISNUMBER(T44),T44&gt;0),AA44/T44,"")</x:f>
        <x:v>47.3</x:v>
      </x:c>
      <x:c r="AD44" s="43" t="str">
        <x:v>Catalog-declared size; normalized to fluid volume</x:v>
      </x:c>
      <x:c r="AE44" s="43" t="str">
        <x:v>https://maryjonescannabis.com/</x:v>
      </x:c>
      <x:c r="AF44" t="str">
        <x:f>"Net Vol. "&amp;TEXT(Y44,"0.##")&amp;" fl oz ("&amp;TEXT(AA44,"0.#")&amp;" mL)"</x:f>
        <x:v>Net Vol. 16. fl oz (473. mL)</x:v>
      </x:c>
      <x:c r="AG44" s="67" t="n">
        <x:f>IF(AND(ISNUMBER(Y44),ISNUMBER(T44),T44&gt;0),Y44/T44,"")</x:f>
        <x:v>1.6</x:v>
      </x:c>
      <x:c r="AH44" t="str">
        <x:f>IF(AG44="","",TEXT(AG44,"0.##")&amp;" fl oz ("&amp;TEXT(AC44,"0.#")&amp;" mL)")</x:f>
        <x:v>1.6 fl oz (47.3 mL)</x:v>
      </x:c>
      <x:c r="AI44" s="43" t="str">
        <x:v>Multi-serving liquid: resealable closure/cap + measuring device or package markings required</x:v>
      </x:c>
      <x:c r="AJ44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5" s="20" customFormat="1" ht="34" customHeight="1">
      <x:c r="A45" s="58" t="str">
        <x:v>Ray's Lemonade</x:v>
      </x:c>
      <x:c r="B45" s="58" t="str">
        <x:v>Original Lemonade 12 oz</x:v>
      </x:c>
      <x:c r="C45" s="58" t="str">
        <x:v>Original Lemonade</x:v>
      </x:c>
      <x:c r="D45" s="58" t="str">
        <x:v>THC Only</x:v>
      </x:c>
      <x:c r="E45" s="58" t="str">
        <x:v>Sativa Hybrid</x:v>
      </x:c>
      <x:c r="F45" s="58" t="str">
        <x:v>Drink</x:v>
      </x:c>
      <x:c r="G45" s="59" t="str">
        <x:v>12 oz</x:v>
      </x:c>
      <x:c r="H45" s="59" t="str">
        <x:v>THC Only</x:v>
      </x:c>
      <x:c r="I45" s="58"/>
      <x:c r="J45" s="60" t="n">
        <x:v>10</x:v>
      </x:c>
      <x:c r="K45" s="60" t="n">
        <x:f>J45*$T45</x:f>
        <x:v>100</x:v>
      </x:c>
      <x:c r="L45" s="60" t="n">
        <x:v>0</x:v>
      </x:c>
      <x:c r="M45" s="60" t="n">
        <x:f>L45*$T45</x:f>
        <x:v>0</x:v>
      </x:c>
      <x:c r="N45" s="60" t="n">
        <x:v>0</x:v>
      </x:c>
      <x:c r="O45" s="60" t="n">
        <x:f>N45*$T45</x:f>
        <x:v>0</x:v>
      </x:c>
      <x:c r="P45" s="60" t="n">
        <x:v>0</x:v>
      </x:c>
      <x:c r="Q45" s="60" t="n">
        <x:f>P45*$T45</x:f>
        <x:v>0</x:v>
      </x:c>
      <x:c r="R45" s="60" t="n">
        <x:v>0</x:v>
      </x:c>
      <x:c r="S45" s="60" t="n">
        <x:f>R45*$T45</x:f>
        <x:v>0</x:v>
      </x:c>
      <x:c r="T45" s="61" t="n">
        <x:v>10</x:v>
      </x:c>
      <x:c r="U45" s="58" t="str">
        <x:v>$14.99</x:v>
      </x:c>
      <x:c r="V45" s="52" t="str">
        <x:v>Straightforward lemon juice character balances sweetness with a clean tart finish—the simplest expression of Ray's lemonade style.</x:v>
      </x:c>
      <x:c r="W45" s="52" t="str">
        <x:v>Mock extension based on Ray's Lemonade's established product format/flavor direction</x:v>
      </x:c>
      <x:c r="X45" t="str">
        <x:v>Volume</x:v>
      </x:c>
      <x:c r="Y45" s="67" t="n">
        <x:v>12</x:v>
      </x:c>
      <x:c r="Z45" t="str">
        <x:v>fl oz</x:v>
      </x:c>
      <x:c r="AA45" s="68" t="n">
        <x:f>IF(ISNUMBER(Y45),ROUNDDOWN(Y45*29.5735295625,0),"")</x:f>
        <x:v>354</x:v>
      </x:c>
      <x:c r="AB45" t="str">
        <x:v>mL</x:v>
      </x:c>
      <x:c r="AC45" s="67" t="n">
        <x:f>IF(AND(ISNUMBER(AA45),ISNUMBER(T45),T45&gt;0),AA45/T45,"")</x:f>
        <x:v>35.4</x:v>
      </x:c>
      <x:c r="AD45" s="43" t="str">
        <x:v>Catalog-declared size; normalized to fluid volume</x:v>
      </x:c>
      <x:c r="AE45" s="43" t="str">
        <x:v>Mock extension based on Ray's Lemonade's established product format/flavor direction</x:v>
      </x:c>
      <x:c r="AF45" t="str">
        <x:f>"Net Vol. "&amp;TEXT(Y45,"0.##")&amp;" fl oz ("&amp;TEXT(AA45,"0.#")&amp;" mL)"</x:f>
        <x:v>Net Vol. 12. fl oz (354. mL)</x:v>
      </x:c>
      <x:c r="AG45" s="67" t="n">
        <x:f>IF(AND(ISNUMBER(Y45),ISNUMBER(T45),T45&gt;0),Y45/T45,"")</x:f>
        <x:v>1.2</x:v>
      </x:c>
      <x:c r="AH45" t="str">
        <x:f>IF(AG45="","",TEXT(AG45,"0.##")&amp;" fl oz ("&amp;TEXT(AC45,"0.#")&amp;" mL)")</x:f>
        <x:v>1.2 fl oz (35.4 mL)</x:v>
      </x:c>
      <x:c r="AI45" s="43" t="str">
        <x:v>Multi-serving liquid: resealable closure/cap + measuring device or package markings required</x:v>
      </x:c>
      <x:c r="AJ45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6" s="20" customFormat="1" ht="34" customHeight="1">
      <x:c r="A46" s="58" t="str">
        <x:v>Ray's Lemonade</x:v>
      </x:c>
      <x:c r="B46" s="58" t="str">
        <x:v>Strawberry Lemonade 12 oz</x:v>
      </x:c>
      <x:c r="C46" s="58" t="str">
        <x:v>Strawberry Lemonade</x:v>
      </x:c>
      <x:c r="D46" s="58" t="str">
        <x:v>THC Only</x:v>
      </x:c>
      <x:c r="E46" s="58" t="str">
        <x:v>Hybrid</x:v>
      </x:c>
      <x:c r="F46" s="58" t="str">
        <x:v>Drink</x:v>
      </x:c>
      <x:c r="G46" s="59" t="str">
        <x:v>12 oz</x:v>
      </x:c>
      <x:c r="H46" s="59" t="str">
        <x:v>THC Only</x:v>
      </x:c>
      <x:c r="I46" s="58"/>
      <x:c r="J46" s="60" t="n">
        <x:v>10</x:v>
      </x:c>
      <x:c r="K46" s="60" t="n">
        <x:f>J46*$T46</x:f>
        <x:v>100</x:v>
      </x:c>
      <x:c r="L46" s="60" t="n">
        <x:v>0</x:v>
      </x:c>
      <x:c r="M46" s="60" t="n">
        <x:f>L46*$T46</x:f>
        <x:v>0</x:v>
      </x:c>
      <x:c r="N46" s="60" t="n">
        <x:v>0</x:v>
      </x:c>
      <x:c r="O46" s="60" t="n">
        <x:f>N46*$T46</x:f>
        <x:v>0</x:v>
      </x:c>
      <x:c r="P46" s="60" t="n">
        <x:v>0</x:v>
      </x:c>
      <x:c r="Q46" s="60" t="n">
        <x:f>P46*$T46</x:f>
        <x:v>0</x:v>
      </x:c>
      <x:c r="R46" s="60" t="n">
        <x:v>0</x:v>
      </x:c>
      <x:c r="S46" s="60" t="n">
        <x:f>R46*$T46</x:f>
        <x:v>0</x:v>
      </x:c>
      <x:c r="T46" s="61" t="n">
        <x:v>10</x:v>
      </x:c>
      <x:c r="U46" s="58" t="str">
        <x:v>$15.99</x:v>
      </x:c>
      <x:c r="V46" s="52" t="str">
        <x:v>Ripe strawberry rounds off the lemon's sharper edges, creating a sweeter berry-led take on the classic lemonade base.</x:v>
      </x:c>
      <x:c r="W46" s="52" t="str">
        <x:v>Mock extension based on Ray's Lemonade's established product format/flavor direction</x:v>
      </x:c>
      <x:c r="X46" t="str">
        <x:v>Volume</x:v>
      </x:c>
      <x:c r="Y46" s="67" t="n">
        <x:v>12</x:v>
      </x:c>
      <x:c r="Z46" t="str">
        <x:v>fl oz</x:v>
      </x:c>
      <x:c r="AA46" s="68" t="n">
        <x:f>IF(ISNUMBER(Y46),ROUNDDOWN(Y46*29.5735295625,0),"")</x:f>
        <x:v>354</x:v>
      </x:c>
      <x:c r="AB46" t="str">
        <x:v>mL</x:v>
      </x:c>
      <x:c r="AC46" s="67" t="n">
        <x:f>IF(AND(ISNUMBER(AA46),ISNUMBER(T46),T46&gt;0),AA46/T46,"")</x:f>
        <x:v>35.4</x:v>
      </x:c>
      <x:c r="AD46" s="43" t="str">
        <x:v>Catalog-declared size; normalized to fluid volume</x:v>
      </x:c>
      <x:c r="AE46" s="43" t="str">
        <x:v>Mock extension based on Ray's Lemonade's established product format/flavor direction</x:v>
      </x:c>
      <x:c r="AF46" t="str">
        <x:f>"Net Vol. "&amp;TEXT(Y46,"0.##")&amp;" fl oz ("&amp;TEXT(AA46,"0.#")&amp;" mL)"</x:f>
        <x:v>Net Vol. 12. fl oz (354. mL)</x:v>
      </x:c>
      <x:c r="AG46" s="67" t="n">
        <x:f>IF(AND(ISNUMBER(Y46),ISNUMBER(T46),T46&gt;0),Y46/T46,"")</x:f>
        <x:v>1.2</x:v>
      </x:c>
      <x:c r="AH46" t="str">
        <x:f>IF(AG46="","",TEXT(AG46,"0.##")&amp;" fl oz ("&amp;TEXT(AC46,"0.#")&amp;" mL)")</x:f>
        <x:v>1.2 fl oz (35.4 mL)</x:v>
      </x:c>
      <x:c r="AI46" s="43" t="str">
        <x:v>Multi-serving liquid: resealable closure/cap + measuring device or package markings required</x:v>
      </x:c>
      <x:c r="AJ46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7" s="20" customFormat="1" ht="34" customHeight="1">
      <x:c r="A47" s="58" t="str">
        <x:v>Ray's Lemonade</x:v>
      </x:c>
      <x:c r="B47" s="58" t="str">
        <x:v>Huckleberry Lemonade 12 oz</x:v>
      </x:c>
      <x:c r="C47" s="58" t="str">
        <x:v>Huckleberry Lemonade</x:v>
      </x:c>
      <x:c r="D47" s="58" t="str">
        <x:v>THC Only</x:v>
      </x:c>
      <x:c r="E47" s="58" t="str">
        <x:v>Sativa Hybrid</x:v>
      </x:c>
      <x:c r="F47" s="58" t="str">
        <x:v>Drink</x:v>
      </x:c>
      <x:c r="G47" s="59" t="str">
        <x:v>12 oz</x:v>
      </x:c>
      <x:c r="H47" s="59" t="str">
        <x:v>THC Only</x:v>
      </x:c>
      <x:c r="I47" s="58"/>
      <x:c r="J47" s="60" t="n">
        <x:v>10</x:v>
      </x:c>
      <x:c r="K47" s="60" t="n">
        <x:f>J47*$T47</x:f>
        <x:v>100</x:v>
      </x:c>
      <x:c r="L47" s="60" t="n">
        <x:v>0</x:v>
      </x:c>
      <x:c r="M47" s="60" t="n">
        <x:f>L47*$T47</x:f>
        <x:v>0</x:v>
      </x:c>
      <x:c r="N47" s="60" t="n">
        <x:v>0</x:v>
      </x:c>
      <x:c r="O47" s="60" t="n">
        <x:f>N47*$T47</x:f>
        <x:v>0</x:v>
      </x:c>
      <x:c r="P47" s="60" t="n">
        <x:v>0</x:v>
      </x:c>
      <x:c r="Q47" s="60" t="n">
        <x:f>P47*$T47</x:f>
        <x:v>0</x:v>
      </x:c>
      <x:c r="R47" s="60" t="n">
        <x:v>0</x:v>
      </x:c>
      <x:c r="S47" s="60" t="n">
        <x:f>R47*$T47</x:f>
        <x:v>0</x:v>
      </x:c>
      <x:c r="T47" s="61" t="n">
        <x:v>10</x:v>
      </x:c>
      <x:c r="U47" s="58" t="str">
        <x:v>$15.99</x:v>
      </x:c>
      <x:c r="V47" s="52" t="str">
        <x:v>Wild huckleberry brings a distinctly Northwest berry sweetness before a subtle tart lemonade finish cleans up the sip.</x:v>
      </x:c>
      <x:c r="W47" s="52" t="str">
        <x:v>Mock extension based on Ray's Lemonade's established product format/flavor direction</x:v>
      </x:c>
      <x:c r="X47" t="str">
        <x:v>Volume</x:v>
      </x:c>
      <x:c r="Y47" s="67" t="n">
        <x:v>12</x:v>
      </x:c>
      <x:c r="Z47" t="str">
        <x:v>fl oz</x:v>
      </x:c>
      <x:c r="AA47" s="68" t="n">
        <x:f>IF(ISNUMBER(Y47),ROUNDDOWN(Y47*29.5735295625,0),"")</x:f>
        <x:v>354</x:v>
      </x:c>
      <x:c r="AB47" t="str">
        <x:v>mL</x:v>
      </x:c>
      <x:c r="AC47" s="67" t="n">
        <x:f>IF(AND(ISNUMBER(AA47),ISNUMBER(T47),T47&gt;0),AA47/T47,"")</x:f>
        <x:v>35.4</x:v>
      </x:c>
      <x:c r="AD47" s="43" t="str">
        <x:v>Catalog-declared size; normalized to fluid volume</x:v>
      </x:c>
      <x:c r="AE47" s="43" t="str">
        <x:v>Mock extension based on Ray's Lemonade's established product format/flavor direction</x:v>
      </x:c>
      <x:c r="AF47" t="str">
        <x:f>"Net Vol. "&amp;TEXT(Y47,"0.##")&amp;" fl oz ("&amp;TEXT(AA47,"0.#")&amp;" mL)"</x:f>
        <x:v>Net Vol. 12. fl oz (354. mL)</x:v>
      </x:c>
      <x:c r="AG47" s="67" t="n">
        <x:f>IF(AND(ISNUMBER(Y47),ISNUMBER(T47),T47&gt;0),Y47/T47,"")</x:f>
        <x:v>1.2</x:v>
      </x:c>
      <x:c r="AH47" t="str">
        <x:f>IF(AG47="","",TEXT(AG47,"0.##")&amp;" fl oz ("&amp;TEXT(AC47,"0.#")&amp;" mL)")</x:f>
        <x:v>1.2 fl oz (35.4 mL)</x:v>
      </x:c>
      <x:c r="AI47" s="43" t="str">
        <x:v>Multi-serving liquid: resealable closure/cap + measuring device or package markings required</x:v>
      </x:c>
      <x:c r="AJ47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8" s="20" customFormat="1" ht="34" customHeight="1">
      <x:c r="A48" s="58" t="str">
        <x:v>Ray's Lemonade</x:v>
      </x:c>
      <x:c r="B48" s="58" t="str">
        <x:v>Pineapple Lemonade Shot 4 oz</x:v>
      </x:c>
      <x:c r="C48" s="58" t="str">
        <x:v>Pineapple Lemonade</x:v>
      </x:c>
      <x:c r="D48" s="58" t="str">
        <x:v>THC Only</x:v>
      </x:c>
      <x:c r="E48" s="58" t="str">
        <x:v>Sativa Hybrid</x:v>
      </x:c>
      <x:c r="F48" s="58" t="str">
        <x:v>Shot</x:v>
      </x:c>
      <x:c r="G48" s="59" t="str">
        <x:v>4 oz</x:v>
      </x:c>
      <x:c r="H48" s="59" t="str">
        <x:v>THC Only</x:v>
      </x:c>
      <x:c r="I48" s="58"/>
      <x:c r="J48" s="60" t="n">
        <x:v>10</x:v>
      </x:c>
      <x:c r="K48" s="60" t="n">
        <x:f>J48*$T48</x:f>
        <x:v>100</x:v>
      </x:c>
      <x:c r="L48" s="60" t="n">
        <x:v>0</x:v>
      </x:c>
      <x:c r="M48" s="60" t="n">
        <x:f>L48*$T48</x:f>
        <x:v>0</x:v>
      </x:c>
      <x:c r="N48" s="60" t="n">
        <x:v>0</x:v>
      </x:c>
      <x:c r="O48" s="60" t="n">
        <x:f>N48*$T48</x:f>
        <x:v>0</x:v>
      </x:c>
      <x:c r="P48" s="60" t="n">
        <x:v>0</x:v>
      </x:c>
      <x:c r="Q48" s="60" t="n">
        <x:f>P48*$T48</x:f>
        <x:v>0</x:v>
      </x:c>
      <x:c r="R48" s="60" t="n">
        <x:v>0</x:v>
      </x:c>
      <x:c r="S48" s="60" t="n">
        <x:f>R48*$T48</x:f>
        <x:v>0</x:v>
      </x:c>
      <x:c r="T48" s="61" t="n">
        <x:v>10</x:v>
      </x:c>
      <x:c r="U48" s="58" t="str">
        <x:v>$13.99</x:v>
      </x:c>
      <x:c r="V48" s="52" t="str">
        <x:v>Sweet pineapple and bright citrus make this compact lemonade shot tropical, tangy, and more refreshing than syrupy.</x:v>
      </x:c>
      <x:c r="W48" s="52" t="str">
        <x:v>Mock extension based on Ray's Lemonade's established product format/flavor direction</x:v>
      </x:c>
      <x:c r="X48" t="str">
        <x:v>Volume</x:v>
      </x:c>
      <x:c r="Y48" s="67" t="n">
        <x:v>4</x:v>
      </x:c>
      <x:c r="Z48" t="str">
        <x:v>fl oz</x:v>
      </x:c>
      <x:c r="AA48" s="68" t="n">
        <x:f>IF(ISNUMBER(Y48),ROUNDDOWN(Y48*29.5735295625,0),"")</x:f>
        <x:v>118</x:v>
      </x:c>
      <x:c r="AB48" t="str">
        <x:v>mL</x:v>
      </x:c>
      <x:c r="AC48" s="67" t="n">
        <x:f>IF(AND(ISNUMBER(AA48),ISNUMBER(T48),T48&gt;0),AA48/T48,"")</x:f>
        <x:v>11.8</x:v>
      </x:c>
      <x:c r="AD48" s="43" t="str">
        <x:v>Catalog-declared size; normalized to fluid volume</x:v>
      </x:c>
      <x:c r="AE48" s="43" t="str">
        <x:v>Mock extension based on Ray's Lemonade's established product format/flavor direction</x:v>
      </x:c>
      <x:c r="AF48" t="str">
        <x:f>"Net Vol. "&amp;TEXT(Y48,"0.##")&amp;" fl oz ("&amp;TEXT(AA48,"0.#")&amp;" mL)"</x:f>
        <x:v>Net Vol. 4. fl oz (118. mL)</x:v>
      </x:c>
      <x:c r="AG48" s="67" t="n">
        <x:f>IF(AND(ISNUMBER(Y48),ISNUMBER(T48),T48&gt;0),Y48/T48,"")</x:f>
        <x:v>0.4</x:v>
      </x:c>
      <x:c r="AH48" t="str">
        <x:f>IF(AG48="","",TEXT(AG48,"0.##")&amp;" fl oz ("&amp;TEXT(AC48,"0.#")&amp;" mL)")</x:f>
        <x:v>0.4 fl oz (11.8 mL)</x:v>
      </x:c>
      <x:c r="AI48" s="43" t="str">
        <x:v>Multi-serving liquid: resealable closure/cap + measuring device or package markings required</x:v>
      </x:c>
      <x:c r="AJ48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49" s="20" customFormat="1" ht="34" customHeight="1">
      <x:c r="A49" s="58" t="str">
        <x:v>Ray's Lemonade</x:v>
      </x:c>
      <x:c r="B49" s="58" t="str">
        <x:v>Raspberry Lemonade Shot 4 oz</x:v>
      </x:c>
      <x:c r="C49" s="58" t="str">
        <x:v>Raspberry Lemonade</x:v>
      </x:c>
      <x:c r="D49" s="58" t="str">
        <x:v>Blend</x:v>
      </x:c>
      <x:c r="E49" s="58" t="str">
        <x:v>Hybrid</x:v>
      </x:c>
      <x:c r="F49" s="58" t="str">
        <x:v>Shot</x:v>
      </x:c>
      <x:c r="G49" s="59" t="str">
        <x:v>4 oz</x:v>
      </x:c>
      <x:c r="H49" s="59" t="str">
        <x:v>THC:CBD</x:v>
      </x:c>
      <x:c r="I49" s="58" t="str">
        <x:v>2:1</x:v>
      </x:c>
      <x:c r="J49" s="60" t="n">
        <x:v>5</x:v>
      </x:c>
      <x:c r="K49" s="60" t="n">
        <x:f>J49*$T49</x:f>
        <x:v>50</x:v>
      </x:c>
      <x:c r="L49" s="60" t="n">
        <x:v>2.5</x:v>
      </x:c>
      <x:c r="M49" s="60" t="n">
        <x:f>L49*$T49</x:f>
        <x:v>25</x:v>
      </x:c>
      <x:c r="N49" s="60" t="n">
        <x:v>0</x:v>
      </x:c>
      <x:c r="O49" s="60" t="n">
        <x:f>N49*$T49</x:f>
        <x:v>0</x:v>
      </x:c>
      <x:c r="P49" s="60" t="n">
        <x:v>0</x:v>
      </x:c>
      <x:c r="Q49" s="60" t="n">
        <x:f>P49*$T49</x:f>
        <x:v>0</x:v>
      </x:c>
      <x:c r="R49" s="60" t="n">
        <x:v>0</x:v>
      </x:c>
      <x:c r="S49" s="60" t="n">
        <x:f>R49*$T49</x:f>
        <x:v>0</x:v>
      </x:c>
      <x:c r="T49" s="61" t="n">
        <x:v>10</x:v>
      </x:c>
      <x:c r="U49" s="58" t="str">
        <x:v>$14.99</x:v>
      </x:c>
      <x:c r="V49" s="52" t="str">
        <x:v>Juicy raspberry gives the concentrated lemonade a tart berry bite, with lemon keeping the finish sharp.</x:v>
      </x:c>
      <x:c r="W49" s="52" t="str">
        <x:v>Mock extension based on Ray's Lemonade's established product format/flavor direction</x:v>
      </x:c>
      <x:c r="X49" t="str">
        <x:v>Volume</x:v>
      </x:c>
      <x:c r="Y49" s="67" t="n">
        <x:v>4</x:v>
      </x:c>
      <x:c r="Z49" t="str">
        <x:v>fl oz</x:v>
      </x:c>
      <x:c r="AA49" s="68" t="n">
        <x:f>IF(ISNUMBER(Y49),ROUNDDOWN(Y49*29.5735295625,0),"")</x:f>
        <x:v>118</x:v>
      </x:c>
      <x:c r="AB49" t="str">
        <x:v>mL</x:v>
      </x:c>
      <x:c r="AC49" s="67" t="n">
        <x:f>IF(AND(ISNUMBER(AA49),ISNUMBER(T49),T49&gt;0),AA49/T49,"")</x:f>
        <x:v>11.8</x:v>
      </x:c>
      <x:c r="AD49" s="43" t="str">
        <x:v>Catalog-declared size; normalized to fluid volume</x:v>
      </x:c>
      <x:c r="AE49" s="43" t="str">
        <x:v>Mock extension based on Ray's Lemonade's established product format/flavor direction</x:v>
      </x:c>
      <x:c r="AF49" t="str">
        <x:f>"Net Vol. "&amp;TEXT(Y49,"0.##")&amp;" fl oz ("&amp;TEXT(AA49,"0.#")&amp;" mL)"</x:f>
        <x:v>Net Vol. 4. fl oz (118. mL)</x:v>
      </x:c>
      <x:c r="AG49" s="67" t="n">
        <x:f>IF(AND(ISNUMBER(Y49),ISNUMBER(T49),T49&gt;0),Y49/T49,"")</x:f>
        <x:v>0.4</x:v>
      </x:c>
      <x:c r="AH49" t="str">
        <x:f>IF(AG49="","",TEXT(AG49,"0.##")&amp;" fl oz ("&amp;TEXT(AC49,"0.#")&amp;" mL)")</x:f>
        <x:v>0.4 fl oz (11.8 mL)</x:v>
      </x:c>
      <x:c r="AI49" s="43" t="str">
        <x:v>Multi-serving liquid: resealable closure/cap + measuring device or package markings required</x:v>
      </x:c>
      <x:c r="AJ49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50" s="20" customFormat="1" ht="34" customHeight="1">
      <x:c r="A50" s="58" t="str">
        <x:v>Ray's Lemonade</x:v>
      </x:c>
      <x:c r="B50" s="58" t="str">
        <x:v>Peach Lemonade 12 oz</x:v>
      </x:c>
      <x:c r="C50" s="58" t="str">
        <x:v>Peach Lemonade</x:v>
      </x:c>
      <x:c r="D50" s="58" t="str">
        <x:v>Blend</x:v>
      </x:c>
      <x:c r="E50" s="58" t="str">
        <x:v>Holistic</x:v>
      </x:c>
      <x:c r="F50" s="58" t="str">
        <x:v>Drink</x:v>
      </x:c>
      <x:c r="G50" s="59" t="str">
        <x:v>12 oz</x:v>
      </x:c>
      <x:c r="H50" s="59" t="str">
        <x:v>THC:CBD</x:v>
      </x:c>
      <x:c r="I50" s="58" t="str">
        <x:v>1:1</x:v>
      </x:c>
      <x:c r="J50" s="60" t="n">
        <x:v>10</x:v>
      </x:c>
      <x:c r="K50" s="60" t="n">
        <x:f>J50*$T50</x:f>
        <x:v>100</x:v>
      </x:c>
      <x:c r="L50" s="60" t="n">
        <x:v>10</x:v>
      </x:c>
      <x:c r="M50" s="60" t="n">
        <x:f>L50*$T50</x:f>
        <x:v>100</x:v>
      </x:c>
      <x:c r="N50" s="60" t="n">
        <x:v>0</x:v>
      </x:c>
      <x:c r="O50" s="60" t="n">
        <x:f>N50*$T50</x:f>
        <x:v>0</x:v>
      </x:c>
      <x:c r="P50" s="60" t="n">
        <x:v>0</x:v>
      </x:c>
      <x:c r="Q50" s="60" t="n">
        <x:f>P50*$T50</x:f>
        <x:v>0</x:v>
      </x:c>
      <x:c r="R50" s="60" t="n">
        <x:v>0</x:v>
      </x:c>
      <x:c r="S50" s="60" t="n">
        <x:f>R50*$T50</x:f>
        <x:v>0</x:v>
      </x:c>
      <x:c r="T50" s="61" t="n">
        <x:v>10</x:v>
      </x:c>
      <x:c r="U50" s="58" t="str">
        <x:v>$16.99</x:v>
      </x:c>
      <x:c r="V50" s="52" t="str">
        <x:v>Soft peach adds mellow stone-fruit sweetness to the lemonade base, producing a rounder and less acidic fruit profile.</x:v>
      </x:c>
      <x:c r="W50" s="52" t="str">
        <x:v>Mock extension based on Ray's Lemonade's established product format/flavor direction</x:v>
      </x:c>
      <x:c r="X50" t="str">
        <x:v>Volume</x:v>
      </x:c>
      <x:c r="Y50" s="67" t="n">
        <x:v>12</x:v>
      </x:c>
      <x:c r="Z50" t="str">
        <x:v>fl oz</x:v>
      </x:c>
      <x:c r="AA50" s="68" t="n">
        <x:f>IF(ISNUMBER(Y50),ROUNDDOWN(Y50*29.5735295625,0),"")</x:f>
        <x:v>354</x:v>
      </x:c>
      <x:c r="AB50" t="str">
        <x:v>mL</x:v>
      </x:c>
      <x:c r="AC50" s="67" t="n">
        <x:f>IF(AND(ISNUMBER(AA50),ISNUMBER(T50),T50&gt;0),AA50/T50,"")</x:f>
        <x:v>35.4</x:v>
      </x:c>
      <x:c r="AD50" s="43" t="str">
        <x:v>Catalog-declared size; normalized to fluid volume</x:v>
      </x:c>
      <x:c r="AE50" s="43" t="str">
        <x:v>Mock extension based on Ray's Lemonade's established product format/flavor direction</x:v>
      </x:c>
      <x:c r="AF50" t="str">
        <x:f>"Net Vol. "&amp;TEXT(Y50,"0.##")&amp;" fl oz ("&amp;TEXT(AA50,"0.#")&amp;" mL)"</x:f>
        <x:v>Net Vol. 12. fl oz (354. mL)</x:v>
      </x:c>
      <x:c r="AG50" s="67" t="n">
        <x:f>IF(AND(ISNUMBER(Y50),ISNUMBER(T50),T50&gt;0),Y50/T50,"")</x:f>
        <x:v>1.2</x:v>
      </x:c>
      <x:c r="AH50" t="str">
        <x:f>IF(AG50="","",TEXT(AG50,"0.##")&amp;" fl oz ("&amp;TEXT(AC50,"0.#")&amp;" mL)")</x:f>
        <x:v>1.2 fl oz (35.4 mL)</x:v>
      </x:c>
      <x:c r="AI50" s="43" t="str">
        <x:v>Multi-serving liquid: resealable closure/cap + measuring device or package markings required</x:v>
      </x:c>
      <x:c r="AJ50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  <x:row r="51" s="20" customFormat="1" ht="34" customHeight="1">
      <x:c r="A51" s="58" t="str">
        <x:v>Ray's Lemonade</x:v>
      </x:c>
      <x:c r="B51" s="58" t="str">
        <x:v>Blueberry Lemonade 12 oz</x:v>
      </x:c>
      <x:c r="C51" s="58" t="str">
        <x:v>Blueberry Lemonade</x:v>
      </x:c>
      <x:c r="D51" s="58" t="str">
        <x:v>CBD</x:v>
      </x:c>
      <x:c r="E51" s="58" t="str">
        <x:v>Holistic</x:v>
      </x:c>
      <x:c r="F51" s="58" t="str">
        <x:v>Drink</x:v>
      </x:c>
      <x:c r="G51" s="59" t="str">
        <x:v>12 oz</x:v>
      </x:c>
      <x:c r="H51" s="59" t="str">
        <x:v>CBD Only</x:v>
      </x:c>
      <x:c r="I51" s="58"/>
      <x:c r="J51" s="60" t="n">
        <x:v>0</x:v>
      </x:c>
      <x:c r="K51" s="60" t="n">
        <x:f>J51*$T51</x:f>
        <x:v>0</x:v>
      </x:c>
      <x:c r="L51" s="60" t="n">
        <x:v>10</x:v>
      </x:c>
      <x:c r="M51" s="60" t="n">
        <x:f>L51*$T51</x:f>
        <x:v>100</x:v>
      </x:c>
      <x:c r="N51" s="60" t="n">
        <x:v>0</x:v>
      </x:c>
      <x:c r="O51" s="60" t="n">
        <x:f>N51*$T51</x:f>
        <x:v>0</x:v>
      </x:c>
      <x:c r="P51" s="60" t="n">
        <x:v>0</x:v>
      </x:c>
      <x:c r="Q51" s="60" t="n">
        <x:f>P51*$T51</x:f>
        <x:v>0</x:v>
      </x:c>
      <x:c r="R51" s="60" t="n">
        <x:v>0</x:v>
      </x:c>
      <x:c r="S51" s="60" t="n">
        <x:f>R51*$T51</x:f>
        <x:v>0</x:v>
      </x:c>
      <x:c r="T51" s="61" t="n">
        <x:v>10</x:v>
      </x:c>
      <x:c r="U51" s="58" t="str">
        <x:v>$15.99</x:v>
      </x:c>
      <x:c r="V51" s="52" t="str">
        <x:v>Blueberry adds dark berry sweetness to bright lemonade, finishing tart enough to keep the combination balanced.</x:v>
      </x:c>
      <x:c r="W51" s="52" t="str">
        <x:v>Mock extension based on Ray's Lemonade's established product format/flavor direction</x:v>
      </x:c>
      <x:c r="X51" t="str">
        <x:v>Volume</x:v>
      </x:c>
      <x:c r="Y51" s="67" t="n">
        <x:v>12</x:v>
      </x:c>
      <x:c r="Z51" t="str">
        <x:v>fl oz</x:v>
      </x:c>
      <x:c r="AA51" s="68" t="n">
        <x:f>IF(ISNUMBER(Y51),ROUNDDOWN(Y51*29.5735295625,0),"")</x:f>
        <x:v>354</x:v>
      </x:c>
      <x:c r="AB51" t="str">
        <x:v>mL</x:v>
      </x:c>
      <x:c r="AC51" s="67" t="n">
        <x:f>IF(AND(ISNUMBER(AA51),ISNUMBER(T51),T51&gt;0),AA51/T51,"")</x:f>
        <x:v>35.4</x:v>
      </x:c>
      <x:c r="AD51" s="43" t="str">
        <x:v>Catalog-declared size; normalized to fluid volume</x:v>
      </x:c>
      <x:c r="AE51" s="43" t="str">
        <x:v>Mock extension based on Ray's Lemonade's established product format/flavor direction</x:v>
      </x:c>
      <x:c r="AF51" t="str">
        <x:f>"Net Vol. "&amp;TEXT(Y51,"0.##")&amp;" fl oz ("&amp;TEXT(AA51,"0.#")&amp;" mL)"</x:f>
        <x:v>Net Vol. 12. fl oz (354. mL)</x:v>
      </x:c>
      <x:c r="AG51" s="67" t="n">
        <x:f>IF(AND(ISNUMBER(Y51),ISNUMBER(T51),T51&gt;0),Y51/T51,"")</x:f>
        <x:v>1.2</x:v>
      </x:c>
      <x:c r="AH51" t="str">
        <x:f>IF(AG51="","",TEXT(AG51,"0.##")&amp;" fl oz ("&amp;TEXT(AC51,"0.#")&amp;" mL)")</x:f>
        <x:v>1.2 fl oz (35.4 mL)</x:v>
      </x:c>
      <x:c r="AI51" s="43" t="str">
        <x:v>Multi-serving liquid: resealable closure/cap + measuring device or package markings required</x:v>
      </x:c>
      <x:c r="AJ51" s="43" t="str">
        <x:v>WA schema check: serving size, amount per serving, servings/package and net quantity are represented. THC per serving must be ≤10 mg and ingestible package THC ≤100 mg. Exact package quantity remains subject to the licensed processor label.</x:v>
      </x:c>
    </x:row>
  </x:sheetData>
  <x:pageMargins left="0.7" right="0.7" top="0.75" bottom="0.75" header="0.3" footer="0.3"/>
  <x:tableParts count="1">
    <x:tablePart xmlns:r="http://schemas.openxmlformats.org/officeDocument/2006/relationships" r:id="R8d4da067031a4943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8" style="20" hidden="0" customWidth="1"/>
    <x:col min="2" max="2" width="90" style="20" hidden="0" customWidth="1"/>
  </x:cols>
  <x:sheetData>
    <x:row r="1" s="20" customFormat="1" ht="32" customHeight="1">
      <x:c r="A1" s="5" t="inlineStr">
        <x:is>
          <x:t xml:space="preserve">Rule</x:t>
        </x:is>
      </x:c>
      <x:c r="B1" s="41" t="inlineStr">
        <x:is>
          <x:t xml:space="preserve">Definition</x:t>
        </x:is>
      </x:c>
    </x:row>
    <x:row r="2" s="20" customFormat="1" ht="32" customHeight="1">
      <x:c r="A2" s="12" t="inlineStr">
        <x:is>
          <x:t xml:space="preserve">Catalog Size</x:t>
        </x:is>
      </x:c>
      <x:c r="B2" s="12" t="inlineStr">
        <x:is>
          <x:t xml:space="preserve">50 mock products</x:t>
        </x:is>
      </x:c>
    </x:row>
    <x:row r="3" s="20" customFormat="1" ht="32" customHeight="1">
      <x:c r="A3" s="12" t="inlineStr">
        <x:is>
          <x:t xml:space="preserve">Brand Set</x:t>
        </x:is>
      </x:c>
      <x:c r="B3" s="12" t="inlineStr">
        <x:is>
          <x:t xml:space="preserve">Green Revolution / Sungaze / Major / Swift / Cormorant / Mary Jones / Ray's Lemonade</x:t>
        </x:is>
      </x:c>
    </x:row>
    <x:row r="4" s="20" customFormat="1" ht="32" customHeight="1">
      <x:c r="A4" s="12" t="inlineStr">
        <x:is>
          <x:t xml:space="preserve">IA</x:t>
        </x:is>
      </x:c>
      <x:c r="B4" s="12" t="str">
        <x:v>THC Only / Blend / CBD → Drink / Shot / Seltzer / Sorbet / Honey</x:v>
      </x:c>
    </x:row>
    <x:row r="5" s="20" customFormat="1" ht="32" customHeight="1">
      <x:c r="A5" s="12" t="inlineStr">
        <x:is>
          <x:t xml:space="preserve">Mocking Approach</x:t>
        </x:is>
      </x:c>
      <x:c r="B5" s="12" t="inlineStr">
        <x:is>
          <x:t xml:space="preserve">Products stay close to each brand's real format and flavor direction without copying its full live catalog bar-for-bar.</x:t>
        </x:is>
      </x:c>
    </x:row>
    <x:row r="6" s="20" customFormat="1" ht="32" customHeight="1">
      <x:c r="A6" s="12" t="inlineStr">
        <x:is>
          <x:t xml:space="preserve">Dose Display</x:t>
        </x:is>
      </x:c>
      <x:c r="B6" s="12" t="inlineStr">
        <x:is>
          <x:t xml:space="preserve">THC mg and CBD mg are separate product-tile fields. No ratio navigation.</x:t>
        </x:is>
      </x:c>
    </x:row>
    <x:row r="7" s="20" customFormat="1" ht="32" customHeight="1">
      <x:c r="A7" s="12" t="inlineStr">
        <x:is>
          <x:t xml:space="preserve">Size Display</x:t>
        </x:is>
      </x:c>
      <x:c r="B7" s="12" t="inlineStr">
        <x:is>
          <x:t xml:space="preserve">Fluid ounces remain product-level information and can vary from the general 4 / 12 / 16 oz targets when the real brand commonly uses another package size.</x:t>
        </x:is>
      </x:c>
    </x:row>
    <x:row r="8" s="20" customFormat="1" ht="32" customHeight="1">
      <x:c r="A8" s="12" t="inlineStr">
        <x:is>
          <x:t xml:space="preserve">Honey</x:t>
        </x:is>
      </x:c>
      <x:c r="B8" s="12" t="inlineStr">
        <x:is>
          <x:t xml:space="preserve">Swift only</x:t>
        </x:is>
      </x:c>
    </x:row>
    <x:row r="9" s="20" customFormat="1" ht="32" customHeight="1">
      <x:c r="A9" s="12" t="inlineStr">
        <x:is>
          <x:t xml:space="preserve">Sorbet</x:t>
        </x:is>
      </x:c>
      <x:c r="B9" s="12" t="inlineStr">
        <x:is>
          <x:t xml:space="preserve">Cormorant only in this seed catalog</x:t>
        </x:is>
      </x:c>
    </x:row>
    <x:row r="10" s="20" customFormat="1" ht="32" customHeight="1">
      <x:c r="A10" s="12" t="inlineStr">
        <x:is>
          <x:t xml:space="preserve">Seltzer</x:t>
        </x:is>
      </x:c>
      <x:c r="B10" s="12" t="inlineStr">
        <x:is>
          <x:t xml:space="preserve">Sungaze only in this seed catalog</x:t>
        </x:is>
      </x:c>
    </x:row>
    <x:row r="11" s="20" customFormat="1" ht="32" customHeight="1">
      <x:c r="A11" s="12" t="inlineStr">
        <x:is>
          <x:t xml:space="preserve">Pricing</x:t>
        </x:is>
      </x:c>
      <x:c r="B11" s="12" t="inlineStr">
        <x:is>
          <x:t xml:space="preserve">Representative WA retail seed pricing, not a claim of a current store price.</x:t>
        </x:is>
      </x:c>
    </x:row>
    <x:row r="12" s="20" customFormat="1" ht="32" customHeight="1">
      <x:c r="A12" s="12" t="inlineStr">
        <x:is>
          <x:t xml:space="preserve">CBD Mock Products</x:t>
        </x:is>
      </x:c>
      <x:c r="B12" s="12" t="inlineStr">
        <x:is>
          <x:t xml:space="preserve">Some CBD-only SKUs are intentional mock extensions of a brand's established format rather than claimed current products.</x:t>
        </x:is>
      </x:c>
    </x:row>
    <x:row r="13" s="20" customFormat="1" ht="32" customHeight="1">
      <x:c r="A13" s="12" t="inlineStr">
        <x:is>
          <x:t xml:space="preserve">Ratio Display</x:t>
        </x:is>
      </x:c>
      <x:c r="B13" s="12" t="inlineStr">
        <x:is>
          <x:t xml:space="preserve">Ratio is product metadata only. It is shown when a product contains two or more cannabinoids.</x:t>
        </x:is>
      </x:c>
    </x:row>
    <x:row r="14" s="20" customFormat="1" ht="32" customHeight="1">
      <x:c r="A14" s="12" t="inlineStr">
        <x:is>
          <x:t xml:space="preserve">Green Revolution CBG</x:t>
        </x:is>
      </x:c>
      <x:c r="B14" s="12" t="str">
        <x:v>Sweet Watermelon is modeled as 1mg THC + 20mg CBG per serving / 10mg THC + 200mg CBG total (THC:CBG 1:20).</x:v>
      </x:c>
    </x:row>
    <x:row r="15">
      <x:c r="A15" s="12" t="str">
        <x:v>Lifestyle</x:v>
      </x:c>
      <x:c r="B15" s="12" t="str">
        <x:v>THC-only and THC-dominant blends use Indica / Indica Hybrid / Hybrid / Sativa Hybrid / Sativa. Balanced, CBD-dominant, CBN-dominant, CBG-dominant, CBC-dominant, and CBD-category products use Holistic.</x:v>
      </x:c>
    </x:row>
    <x:row r="16">
      <x:c r="A16" s="12" t="inlineStr">
        <x:is>
          <x:t xml:space="preserve">CBD Rule</x:t>
        </x:is>
      </x:c>
      <x:c r="B16" s="12" t="inlineStr">
        <x:is>
          <x:t xml:space="preserve">All CBD-category products are labeled CBD in the Strain Type column.</x:t>
        </x:is>
      </x:c>
    </x:row>
    <x:row r="17" s="20" customFormat="1" ht="40" customHeight="1">
      <x:c r="A17" s="12" t="inlineStr">
        <x:is>
          <x:t xml:space="preserve">Serving Size</x:t>
        </x:is>
      </x:c>
      <x:c r="B17" s="12" t="inlineStr">
        <x:is>
          <x:t xml:space="preserve">All non-seltzer products use 10 servings per package. THC products are 10mg THC per serving / 100mg THC per package; CBD products are 10mg CBD per serving / 100mg CBD per package.</x:t>
        </x:is>
      </x:c>
    </x:row>
    <x:row r="18" s="20" customFormat="1" ht="40" customHeight="1">
      <x:c r="A18" s="12" t="inlineStr">
        <x:is>
          <x:t xml:space="preserve">Blend Servings</x:t>
        </x:is>
      </x:c>
      <x:c r="B18" s="12" t="inlineStr">
        <x:is>
          <x:t xml:space="preserve">Non-seltzer blends use 10mg THC per serving; CBD is divided proportionally across the same 10 servings based on the package formulation.</x:t>
        </x:is>
      </x:c>
    </x:row>
    <x:row r="19" s="20" customFormat="1" ht="40" customHeight="1">
      <x:c r="A19" s="12" t="inlineStr">
        <x:is>
          <x:t xml:space="preserve">Seltzer Exception</x:t>
        </x:is>
      </x:c>
      <x:c r="B19" s="12" t="inlineStr">
        <x:is>
          <x:t xml:space="preserve">Seltzers are one serving per can and retain their small THC/CBD amounts (for example 2.5mg THC + 5mg CBD or 10mg THC + 5mg CBD).</x:t>
        </x:is>
      </x:c>
    </x:row>
    <x:row r="21">
      <x:c r="A21" s="43" t="str">
        <x:v>Regulatory net quantity</x:v>
      </x:c>
      <x:c r="B21" s="43" t="str">
        <x:v>Drink / Seltzer / Shot entries are normalized as fluid volume (fl oz + mL). Honey and Sorbet entries are normalized as net weight (oz + g).</x:v>
      </x:c>
    </x:row>
    <x:row r="22">
      <x:c r="A22" s="43" t="str">
        <x:v>Physical serving amount</x:v>
      </x:c>
      <x:c r="B22" s="43" t="str">
        <x:v>Calculated as package net amount divided by Servings Per Package; this is separate from cannabinoid mg per serving.</x:v>
      </x:c>
    </x:row>
    <x:row r="23">
      <x:c r="A23" s="43" t="str">
        <x:v>Source handling</x:v>
      </x:c>
      <x:c r="B23" s="43" t="str">
        <x:v>Existing source/basis is retained per row. Mock-extension products remain marked as such rather than being presented as researched exact SKUs.</x:v>
      </x:c>
    </x:row>
    <x:row r="24">
      <x:c r="A24" s="43" t="str">
        <x:v>Production note</x:v>
      </x:c>
      <x:c r="B24" s="43" t="str">
        <x:v>Live licensed processor/POS quantity should override catalog seed values when available.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76" hidden="0" customWidth="1"/>
    <x:col min="4" max="4" width="58" hidden="0" customWidth="1"/>
  </x:cols>
  <x:sheetData>
    <x:row r="1">
      <x:c r="A1" s="73" t="str">
        <x:v>Check</x:v>
      </x:c>
      <x:c r="B1" s="73" t="str">
        <x:v>Status</x:v>
      </x:c>
      <x:c r="C1" s="73" t="str">
        <x:v>Washington Standard</x:v>
      </x:c>
      <x:c r="D1" s="73" t="str">
        <x:v>Source</x:v>
      </x:c>
    </x:row>
    <x:row r="2">
      <x:c r="A2" s="43" t="str">
        <x:v>Net quantity</x:v>
      </x:c>
      <x:c r="B2" s="43" t="str">
        <x:v>Pass (schema)</x:v>
      </x:c>
      <x:c r="C2" s="43" t="str">
        <x:v>Liquid edibles must show net weight in oz + g or volume as applicable; catalog uses fl oz + mL for beverages.</x:v>
      </x:c>
      <x:c r="D2" s="43" t="str">
        <x:v>https://app.leg.wa.gov/wac/default.aspx?cite=314-55-105</x:v>
      </x:c>
    </x:row>
    <x:row r="3">
      <x:c r="A3" s="43" t="str">
        <x:v>Serving information</x:v>
      </x:c>
      <x:c r="B3" s="43" t="str">
        <x:v>Pass (schema)</x:v>
      </x:c>
      <x:c r="C3" s="43" t="str">
        <x:v>Serving size, amount of product per serving, and servings/package must be prominently displayed.</x:v>
      </x:c>
      <x:c r="D3" s="43" t="str">
        <x:v>https://app.leg.wa.gov/wac/default.aspx?cite=314-55-105</x:v>
      </x:c>
    </x:row>
    <x:row r="4">
      <x:c r="A4" s="43" t="str">
        <x:v>Multi-serving packaging</x:v>
      </x:c>
      <x:c r="B4" s="43" t="str">
        <x:v>Flagged per row</x:v>
      </x:c>
      <x:c r="C4" s="43" t="str">
        <x:v>More-than-one-serving liquid edibles require resealable closure/cap and a measuring device or package markings.</x:v>
      </x:c>
      <x:c r="D4" s="43" t="str">
        <x:v>https://app.leg.wa.gov/wac/default.aspx?cite=314-55-105</x:v>
      </x:c>
    </x:row>
    <x:row r="5">
      <x:c r="A5" s="43" t="str">
        <x:v>THC serving limit</x:v>
      </x:c>
      <x:c r="B5" s="43" t="str">
        <x:v>Pass</x:v>
      </x:c>
      <x:c r="C5" s="43" t="str">
        <x:v>Single serving must not exceed 10 mg active delta-9 THC.</x:v>
      </x:c>
      <x:c r="D5" s="43" t="str">
        <x:v>https://app.leg.wa.gov/wac/default.aspx?cite=314-55-095</x:v>
      </x:c>
    </x:row>
    <x:row r="6">
      <x:c r="A6" s="43" t="str">
        <x:v>THC package limit</x:v>
      </x:c>
      <x:c r="B6" s="43" t="str">
        <x:v>Pass</x:v>
      </x:c>
      <x:c r="C6" s="43" t="str">
        <x:v>Ingestible package must not exceed 100 mg active delta-9 THC.</x:v>
      </x:c>
      <x:c r="D6" s="43" t="str">
        <x:v>https://app.leg.wa.gov/wac/default.aspx?cite=314-55-095</x:v>
      </x:c>
    </x:row>
    <x:row r="7">
      <x:c r="A7" s="43" t="str">
        <x:v>Exact SKU quantity</x:v>
      </x:c>
      <x:c r="B7" s="43" t="str">
        <x:v>Conditional</x:v>
      </x:c>
      <x:c r="C7" s="43" t="str">
        <x:v>Manufacturer/processor label controls; mock-extension quantity is catalog seed data, not compliance certification.</x:v>
      </x:c>
      <x:c r="D7" s="43" t="str">
        <x:v>https://app.leg.wa.gov/wac/default.aspx?cite=16-662-105</x:v>
      </x:c>
    </x:row>
  </x:sheetData>
  <x:pageMargins left="0.7" right="0.7" top="0.75" bottom="0.75" header="0.3" footer="0.3"/>
</x:worksheet>
</file>