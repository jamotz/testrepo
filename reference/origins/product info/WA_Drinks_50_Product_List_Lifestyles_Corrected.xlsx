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71cc8f7c449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 Edibles Products" sheetId="1" r:id="R187c7f47d79e4bbb"/>
    <x:sheet xmlns:r="http://schemas.openxmlformats.org/officeDocument/2006/relationships" name="Catalog Notes" sheetId="2" r:id="Ra04cf9e75d6f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200" formatCode="0.##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243447"/>
      </x:patternFill>
    </x:fill>
    <x:fill>
      <x:patternFill patternType="solid">
        <x:fgColor rgb="FF243447"/>
      </x:patternFill>
    </x:fill>
    <x:fill>
      <x:patternFill patternType="solid">
        <x:fgColor rgb="FF243447"/>
      </x:patternFill>
    </x:fill>
    <x:fill>
      <x:patternFill patternType="solid">
        <x:fgColor rgb="FF4F6F4F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0" borderId="1" xfId="0" applyAlignment="1">
      <x:alignment vertical="top" wrapText="1"/>
    </x:xf>
    <x:xf numFmtId="0" fontId="1" fillId="2" borderId="0" xfId="0" applyAlignment="1">
      <x:alignment horizontal="center"/>
    </x:xf>
    <x:xf numFmtId="0" fontId="1" fillId="2" borderId="1" xfId="0" applyAlignment="1">
      <x:alignment horizontal="center"/>
    </x:xf>
    <x:xf numFmtId="0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1" fillId="4" borderId="0" xfId="0" applyAlignment="1">
      <x:alignment horizontal="center" vertical="center"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1" fillId="4" borderId="0" xfId="0" applyAlignment="1">
      <x:alignment horizontal="center" wrapText="1"/>
    </x:xf>
    <x:xf numFmtId="0" fontId="1" fillId="5" borderId="0" xfId="0" applyAlignment="1">
      <x:alignment horizontal="center" vertical="center" wrapText="1"/>
    </x:xf>
    <x:xf numFmtId="0" fontId="0" fillId="5" borderId="0" xfId="0"/>
    <x:xf numFmtId="0" fontId="1" fillId="5" borderId="0" xfId="0"/>
    <x:xf numFmtId="0" fontId="1" fillId="5" borderId="0" xfId="0" applyAlignment="1">
      <x:alignment wrapText="1"/>
    </x:xf>
    <x:xf numFmtId="0" fontId="1" fillId="5" borderId="0" xfId="0" applyAlignment="1">
      <x:alignment horizontal="center" wrapText="1"/>
    </x:xf>
    <x:xf numFmtId="164" fontId="0" fillId="0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vertical="top" wrapText="1"/>
    </x:xf>
    <x:xf numFmtId="164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center" vertical="center" wrapText="0"/>
    </x:xf>
    <x:xf numFmtId="0" fontId="0" fillId="7" borderId="0" xfId="0" applyNumberFormat="1" applyFont="1" applyFill="1" applyBorder="1" applyAlignment="1">
      <x:alignment vertical="top" wrapText="0"/>
    </x:xf>
    <x:xf numFmtId="164" fontId="0" fillId="7" borderId="0" xfId="0" applyNumberFormat="1" applyFont="1" applyFill="1" applyBorder="1" applyAlignment="1">
      <x:alignment vertical="top" wrapText="0"/>
    </x:xf>
    <x:xf numFmtId="200" fontId="0" fillId="7" borderId="0" xfId="0" applyNumberFormat="1" applyFont="1" applyFill="1" applyBorder="1" applyAlignment="1">
      <x:alignment vertical="top" wrapText="0"/>
    </x:xf>
    <x:xf numFmtId="201" fontId="0" fillId="7" borderId="0" xfId="0" applyNumberFormat="1" applyFont="1" applyFill="1" applyBorder="1" applyAlignment="1">
      <x:alignment vertical="top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917cafc444549" /><Relationship Type="http://schemas.openxmlformats.org/officeDocument/2006/relationships/theme" Target="/xl/theme/theme1.xml" Id="Rd6b76d00cb014850" /><Relationship Type="http://schemas.openxmlformats.org/officeDocument/2006/relationships/sharedStrings" Target="/xl/sharedStrings.xml" Id="R98117ce451ee40e3" /><Relationship Type="http://schemas.openxmlformats.org/officeDocument/2006/relationships/worksheet" Target="/xl/worksheets/sheet1.xml" Id="R187c7f47d79e4bbb" /><Relationship Type="http://schemas.openxmlformats.org/officeDocument/2006/relationships/worksheet" Target="/xl/worksheets/sheet2.xml" Id="Ra04cf9e75d6f4973" /></Relationships>
</file>

<file path=xl/tables/table1.xml><?xml version="1.0" encoding="utf-8"?>
<x:table xmlns:x="http://schemas.openxmlformats.org/spreadsheetml/2006/main" id="1" name="LiquidEdiblesProducts" displayName="LiquidEdiblesProducts" ref="A1:L51" headerRowCount="1" totalsRowCount="0" totalsRowShown="0">
  <x:tableColumns count="12">
    <x:tableColumn id="1" name="Brand"/>
    <x:tableColumn id="2" name="Product Name"/>
    <x:tableColumn id="3" name="Flavor"/>
    <x:tableColumn id="4" name="Cannabinoid Category"/>
    <x:tableColumn id="5" name="Type"/>
    <x:tableColumn id="6" name="Size"/>
    <x:tableColumn id="7" name="THC mg"/>
    <x:tableColumn id="8" name="CBD mg"/>
    <x:tableColumn id="9" name="Other Cannabinoids"/>
    <x:tableColumn id="10" name="WA Retail Price"/>
    <x:tableColumn id="11" name="Description"/>
    <x:tableColumn id="12" name="Source /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469e38f6764ec8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style="20" hidden="0" customWidth="1"/>
    <x:col min="2" max="2" width="30" style="20" hidden="0" customWidth="1"/>
    <x:col min="3" max="3" width="20" style="20" hidden="0" customWidth="1"/>
    <x:col min="4" max="4" width="18" style="20" hidden="0" customWidth="1"/>
    <x:col min="5" max="5" width="16" style="20" hidden="0" customWidth="1"/>
    <x:col min="6" max="6" width="12" style="20" hidden="0" customWidth="1"/>
    <x:col min="7" max="7" width="10" style="20" hidden="0" customWidth="1"/>
    <x:col min="8" max="8" width="20" style="20" hidden="0" customWidth="1"/>
    <x:col min="9" max="9" width="12" style="20" hidden="0" customWidth="1"/>
    <x:col min="10" max="10" width="13" style="20" hidden="0" customWidth="1"/>
    <x:col min="11" max="11" width="13" style="20" hidden="0" customWidth="1"/>
    <x:col min="12" max="12" width="13" style="20" hidden="0" customWidth="1"/>
    <x:col min="13" max="13" width="13" style="20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6" hidden="0" customWidth="1"/>
    <x:col min="21" max="21" width="15" hidden="0" customWidth="1"/>
    <x:col min="22" max="22" width="48" hidden="0" customWidth="1"/>
    <x:col min="23" max="23" width="42" hidden="0" customWidth="1"/>
  </x:cols>
  <x:sheetData>
    <x:row r="1" s="20" customFormat="1" ht="32" customHeight="1">
      <x:c r="A1" s="47" t="str">
        <x:v>Brand</x:v>
      </x:c>
      <x:c r="B1" s="47" t="str">
        <x:v>Product Name</x:v>
      </x:c>
      <x:c r="C1" s="47" t="str">
        <x:v>Flavor</x:v>
      </x:c>
      <x:c r="D1" s="47" t="str">
        <x:v>Cannabinoid Category</x:v>
      </x:c>
      <x:c r="E1" s="47" t="str">
        <x:v>Lifestyle</x:v>
      </x:c>
      <x:c r="F1" s="47" t="str">
        <x:v>Type</x:v>
      </x:c>
      <x:c r="G1" s="47" t="str">
        <x:v>Size</x:v>
      </x:c>
      <x:c r="H1" s="47" t="str">
        <x:v>Cannabinoid Combo</x:v>
      </x:c>
      <x:c r="I1" s="47" t="str">
        <x:v>Ratio (Tile)</x:v>
      </x:c>
      <x:c r="J1" s="47" t="str">
        <x:v>THC Serving mg</x:v>
      </x:c>
      <x:c r="K1" s="47" t="str">
        <x:v>THC Total mg</x:v>
      </x:c>
      <x:c r="L1" s="47" t="str">
        <x:v>CBD Serving mg</x:v>
      </x:c>
      <x:c r="M1" s="47" t="str">
        <x:v>CBD Total mg</x:v>
      </x:c>
      <x:c r="N1" s="47" t="str">
        <x:v>CBN Serving mg</x:v>
      </x:c>
      <x:c r="O1" s="47" t="str">
        <x:v>CBN Total mg</x:v>
      </x:c>
      <x:c r="P1" s="47" t="str">
        <x:v>CBG Serving mg</x:v>
      </x:c>
      <x:c r="Q1" s="47" t="str">
        <x:v>CBG Total mg</x:v>
      </x:c>
      <x:c r="R1" s="47" t="str">
        <x:v>CBC Serving mg</x:v>
      </x:c>
      <x:c r="S1" s="47" t="str">
        <x:v>CBC Total mg</x:v>
      </x:c>
      <x:c r="T1" s="47" t="str">
        <x:v>Servings Per Package</x:v>
      </x:c>
      <x:c r="U1" s="47" t="str">
        <x:v>WA Retail Price</x:v>
      </x:c>
      <x:c r="V1" s="47" t="str">
        <x:v>Description</x:v>
      </x:c>
      <x:c r="W1" s="47" t="str">
        <x:v>Source / Basis</x:v>
      </x:c>
    </x:row>
    <x:row r="2" s="20" customFormat="1" ht="34" customHeight="1">
      <x:c r="A2" s="58" t="str">
        <x:v>Green Revolution</x:v>
      </x:c>
      <x:c r="B2" s="58" t="str">
        <x:v>Blackberry Lemonade 12 oz</x:v>
      </x:c>
      <x:c r="C2" s="58" t="str">
        <x:v>Blackberry Lemonade</x:v>
      </x:c>
      <x:c r="D2" s="58" t="str">
        <x:v>THC Only</x:v>
      </x:c>
      <x:c r="E2" s="58" t="str">
        <x:v>Indica Hybrid</x:v>
      </x:c>
      <x:c r="F2" s="58" t="str">
        <x:v>Drink</x:v>
      </x:c>
      <x:c r="G2" s="59" t="str">
        <x:v>12 oz</x:v>
      </x:c>
      <x:c r="H2" s="59" t="str">
        <x:v>THC Only</x:v>
      </x:c>
      <x:c r="I2" s="58"/>
      <x:c r="J2" s="60" t="n">
        <x:v>10</x:v>
      </x:c>
      <x:c r="K2" s="60" t="n">
        <x:f>J2*$T2</x:f>
        <x:v>100</x:v>
      </x:c>
      <x:c r="L2" s="60" t="n">
        <x:v>0</x:v>
      </x:c>
      <x:c r="M2" s="60" t="n">
        <x:f>L2*$T2</x:f>
        <x:v>0</x:v>
      </x:c>
      <x:c r="N2" s="60" t="n">
        <x:v>0</x:v>
      </x:c>
      <x:c r="O2" s="60" t="n">
        <x:f>N2*$T2</x:f>
        <x:v>0</x:v>
      </x:c>
      <x:c r="P2" s="60" t="n">
        <x:v>0</x:v>
      </x:c>
      <x:c r="Q2" s="60" t="n">
        <x:f>P2*$T2</x:f>
        <x:v>0</x:v>
      </x:c>
      <x:c r="R2" s="60" t="n">
        <x:v>0</x:v>
      </x:c>
      <x:c r="S2" s="60" t="n">
        <x:f>R2*$T2</x:f>
        <x:v>0</x:v>
      </x:c>
      <x:c r="T2" s="61" t="n">
        <x:v>10</x:v>
      </x:c>
      <x:c r="U2" s="58" t="str">
        <x:v>$19.99</x:v>
      </x:c>
      <x:c r="V2" s="52" t="str">
        <x:v>Dark blackberry opens sweet before a sharp lemonade finish cuts through, giving this fizz a richer, more relaxed fruit profile.</x:v>
      </x:c>
      <x:c r="W2" s="52" t="str">
        <x:v>https://greenrevolution.com/products/beverages/</x:v>
      </x:c>
    </x:row>
    <x:row r="3" s="20" customFormat="1" ht="34" customHeight="1">
      <x:c r="A3" s="58" t="str">
        <x:v>Green Revolution</x:v>
      </x:c>
      <x:c r="B3" s="58" t="str">
        <x:v>Summer Peach 12 oz</x:v>
      </x:c>
      <x:c r="C3" s="58" t="str">
        <x:v>Summer Peach</x:v>
      </x:c>
      <x:c r="D3" s="58" t="str">
        <x:v>Blend</x:v>
      </x:c>
      <x:c r="E3" s="58" t="str">
        <x:v>Holistic</x:v>
      </x:c>
      <x:c r="F3" s="58" t="str">
        <x:v>Drink</x:v>
      </x:c>
      <x:c r="G3" s="59" t="str">
        <x:v>12 oz</x:v>
      </x:c>
      <x:c r="H3" s="59" t="str">
        <x:v>THC:CBD</x:v>
      </x:c>
      <x:c r="I3" s="58" t="str">
        <x:v>1:1</x:v>
      </x:c>
      <x:c r="J3" s="60" t="n">
        <x:v>10</x:v>
      </x:c>
      <x:c r="K3" s="60" t="n">
        <x:f>J3*$T3</x:f>
        <x:v>100</x:v>
      </x:c>
      <x:c r="L3" s="60" t="n">
        <x:v>10</x:v>
      </x:c>
      <x:c r="M3" s="60" t="n">
        <x:f>L3*$T3</x:f>
        <x:v>100</x:v>
      </x:c>
      <x:c r="N3" s="60" t="n">
        <x:v>0</x:v>
      </x:c>
      <x:c r="O3" s="60" t="n">
        <x:f>N3*$T3</x:f>
        <x:v>0</x:v>
      </x:c>
      <x:c r="P3" s="60" t="n">
        <x:v>0</x:v>
      </x:c>
      <x:c r="Q3" s="60" t="n">
        <x:f>P3*$T3</x:f>
        <x:v>0</x:v>
      </x:c>
      <x:c r="R3" s="60" t="n">
        <x:v>0</x:v>
      </x:c>
      <x:c r="S3" s="60" t="n">
        <x:f>R3*$T3</x:f>
        <x:v>0</x:v>
      </x:c>
      <x:c r="T3" s="61" t="n">
        <x:v>10</x:v>
      </x:c>
      <x:c r="U3" s="58" t="str">
        <x:v>$21.99</x:v>
      </x:c>
      <x:c r="V3" s="52" t="str">
        <x:v>Soft peach nectar and a light sparkling finish make this one mellow and rounded rather than candy-sweet.</x:v>
      </x:c>
      <x:c r="W3" s="52" t="str">
        <x:v>https://greenrevolution.com/products/beverages/</x:v>
      </x:c>
    </x:row>
    <x:row r="4" s="20" customFormat="1" ht="34" customHeight="1">
      <x:c r="A4" s="58" t="str">
        <x:v>Green Revolution</x:v>
      </x:c>
      <x:c r="B4" s="58" t="str">
        <x:v>Sweet Watermelon 12 oz</x:v>
      </x:c>
      <x:c r="C4" s="58" t="str">
        <x:v>Sweet Watermelon</x:v>
      </x:c>
      <x:c r="D4" s="58" t="str">
        <x:v>Blend</x:v>
      </x:c>
      <x:c r="E4" s="58" t="str">
        <x:v>Holistic</x:v>
      </x:c>
      <x:c r="F4" s="58" t="str">
        <x:v>Drink</x:v>
      </x:c>
      <x:c r="G4" s="59" t="str">
        <x:v>12 oz</x:v>
      </x:c>
      <x:c r="H4" s="59" t="str">
        <x:v>THC:CBG</x:v>
      </x:c>
      <x:c r="I4" s="58" t="str">
        <x:v>1:20</x:v>
      </x:c>
      <x:c r="J4" s="60" t="n">
        <x:v>1</x:v>
      </x:c>
      <x:c r="K4" s="60" t="n">
        <x:f>J4*$T4</x:f>
        <x:v>10</x:v>
      </x:c>
      <x:c r="L4" s="60" t="n">
        <x:v>0</x:v>
      </x:c>
      <x:c r="M4" s="60" t="n">
        <x:f>L4*$T4</x:f>
        <x:v>0</x:v>
      </x:c>
      <x:c r="N4" s="60" t="n">
        <x:v>0</x:v>
      </x:c>
      <x:c r="O4" s="60" t="n">
        <x:f>N4*$T4</x:f>
        <x:v>0</x:v>
      </x:c>
      <x:c r="P4" s="60" t="n">
        <x:v>20</x:v>
      </x:c>
      <x:c r="Q4" s="60" t="n">
        <x:f>P4*$T4</x:f>
        <x:v>200</x:v>
      </x:c>
      <x:c r="R4" s="60" t="n">
        <x:v>0</x:v>
      </x:c>
      <x:c r="S4" s="60" t="n">
        <x:f>R4*$T4</x:f>
        <x:v>0</x:v>
      </x:c>
      <x:c r="T4" s="61" t="n">
        <x:v>10</x:v>
      </x:c>
      <x:c r="U4" s="58" t="str">
        <x:v>$20.99</x:v>
      </x:c>
      <x:c r="V4" s="52" t="str">
        <x:v>Fresh watermelon stays clean and juicy, with 1mg THC and 20mg CBG per serving keeping the 1:20 formula light on THC.</x:v>
      </x:c>
      <x:c r="W4" s="52" t="str">
        <x:v>https://greenrevolution.com/products/beverages/wildside/</x:v>
      </x:c>
    </x:row>
    <x:row r="5" s="20" customFormat="1" ht="34" customHeight="1">
      <x:c r="A5" s="58" t="str">
        <x:v>Green Revolution</x:v>
      </x:c>
      <x:c r="B5" s="58" t="str">
        <x:v>Tropical Mango 12 oz</x:v>
      </x:c>
      <x:c r="C5" s="58" t="str">
        <x:v>Tropical Mango</x:v>
      </x:c>
      <x:c r="D5" s="58" t="str">
        <x:v>Blend</x:v>
      </x:c>
      <x:c r="E5" s="58" t="str">
        <x:v>Sativa Hybrid</x:v>
      </x:c>
      <x:c r="F5" s="58" t="str">
        <x:v>Drink</x:v>
      </x:c>
      <x:c r="G5" s="59" t="str">
        <x:v>12 oz</x:v>
      </x:c>
      <x:c r="H5" s="59" t="str">
        <x:v>THC:CBD:CBG</x:v>
      </x:c>
      <x:c r="I5" s="58" t="str">
        <x:v>4:1:1</x:v>
      </x:c>
      <x:c r="J5" s="60" t="n">
        <x:v>10</x:v>
      </x:c>
      <x:c r="K5" s="60" t="n">
        <x:f>J5*$T5</x:f>
        <x:v>100</x:v>
      </x:c>
      <x:c r="L5" s="60" t="n">
        <x:v>2.5</x:v>
      </x:c>
      <x:c r="M5" s="60" t="n">
        <x:f>L5*$T5</x:f>
        <x:v>25</x:v>
      </x:c>
      <x:c r="N5" s="60" t="n">
        <x:v>0</x:v>
      </x:c>
      <x:c r="O5" s="60" t="n">
        <x:f>N5*$T5</x:f>
        <x:v>0</x:v>
      </x:c>
      <x:c r="P5" s="60" t="n">
        <x:v>2.5</x:v>
      </x:c>
      <x:c r="Q5" s="60" t="n">
        <x:f>P5*$T5</x:f>
        <x:v>25</x:v>
      </x:c>
      <x:c r="R5" s="60" t="n">
        <x:v>0</x:v>
      </x:c>
      <x:c r="S5" s="60" t="n">
        <x:f>R5*$T5</x:f>
        <x:v>0</x:v>
      </x:c>
      <x:c r="T5" s="61" t="n">
        <x:v>10</x:v>
      </x:c>
      <x:c r="U5" s="58" t="str">
        <x:v>$21.99</x:v>
      </x:c>
      <x:c r="V5" s="52" t="str">
        <x:v>Ripe mango leads with a lush tropical sweetness, followed by a brighter finish that keeps the drink from feeling heavy.</x:v>
      </x:c>
      <x:c r="W5" s="52" t="str">
        <x:v>https://greenrevolution.com/products/beverages/</x:v>
      </x:c>
    </x:row>
    <x:row r="6" s="20" customFormat="1" ht="34" customHeight="1">
      <x:c r="A6" s="58" t="str">
        <x:v>Green Revolution</x:v>
      </x:c>
      <x:c r="B6" s="58" t="str">
        <x:v>Agave Lime MAX 2 oz</x:v>
      </x:c>
      <x:c r="C6" s="58" t="str">
        <x:v>Agave Lime</x:v>
      </x:c>
      <x:c r="D6" s="58" t="str">
        <x:v>Blend</x:v>
      </x:c>
      <x:c r="E6" s="58" t="str">
        <x:v>Sativa</x:v>
      </x:c>
      <x:c r="F6" s="58" t="str">
        <x:v>Shot</x:v>
      </x:c>
      <x:c r="G6" s="59" t="str">
        <x:v>2 oz</x:v>
      </x:c>
      <x:c r="H6" s="59" t="str">
        <x:v>THC:CBG:CBC</x:v>
      </x:c>
      <x:c r="I6" s="58" t="str">
        <x:v>2:1:1</x:v>
      </x:c>
      <x:c r="J6" s="60" t="n">
        <x:v>10</x:v>
      </x:c>
      <x:c r="K6" s="60" t="n">
        <x:f>J6*$T6</x:f>
        <x:v>100</x:v>
      </x:c>
      <x:c r="L6" s="60" t="n">
        <x:v>0</x:v>
      </x:c>
      <x:c r="M6" s="60" t="n">
        <x:f>L6*$T6</x:f>
        <x:v>0</x:v>
      </x:c>
      <x:c r="N6" s="60" t="n">
        <x:v>0</x:v>
      </x:c>
      <x:c r="O6" s="60" t="n">
        <x:f>N6*$T6</x:f>
        <x:v>0</x:v>
      </x:c>
      <x:c r="P6" s="60" t="n">
        <x:v>5</x:v>
      </x:c>
      <x:c r="Q6" s="60" t="n">
        <x:f>P6*$T6</x:f>
        <x:v>50</x:v>
      </x:c>
      <x:c r="R6" s="60" t="n">
        <x:v>5</x:v>
      </x:c>
      <x:c r="S6" s="60" t="n">
        <x:f>R6*$T6</x:f>
        <x:v>50</x:v>
      </x:c>
      <x:c r="T6" s="61" t="n">
        <x:v>10</x:v>
      </x:c>
      <x:c r="U6" s="58" t="str">
        <x:v>$15.99</x:v>
      </x:c>
      <x:c r="V6" s="52" t="str">
        <x:v>Fresh lime and smooth agave give this concentrated shot a margarita-like edge without turning syrupy.</x:v>
      </x:c>
      <x:c r="W6" s="52" t="str">
        <x:v>https://greenrevolution.com/products/beverages/</x:v>
      </x:c>
    </x:row>
    <x:row r="7" s="20" customFormat="1" ht="34" customHeight="1">
      <x:c r="A7" s="58" t="str">
        <x:v>Green Revolution</x:v>
      </x:c>
      <x:c r="B7" s="58" t="str">
        <x:v>Blue Raspberry MAX 2 oz</x:v>
      </x:c>
      <x:c r="C7" s="58" t="str">
        <x:v>Blue Raspberry</x:v>
      </x:c>
      <x:c r="D7" s="58" t="str">
        <x:v>Blend</x:v>
      </x:c>
      <x:c r="E7" s="58" t="str">
        <x:v>Hybrid</x:v>
      </x:c>
      <x:c r="F7" s="58" t="str">
        <x:v>Shot</x:v>
      </x:c>
      <x:c r="G7" s="59" t="str">
        <x:v>2 oz</x:v>
      </x:c>
      <x:c r="H7" s="59" t="str">
        <x:v>THC:CBN</x:v>
      </x:c>
      <x:c r="I7" s="58" t="str">
        <x:v>20:1</x:v>
      </x:c>
      <x:c r="J7" s="60" t="n">
        <x:v>10</x:v>
      </x:c>
      <x:c r="K7" s="60" t="n">
        <x:f>J7*$T7</x:f>
        <x:v>100</x:v>
      </x:c>
      <x:c r="L7" s="60" t="n">
        <x:v>0</x:v>
      </x:c>
      <x:c r="M7" s="60" t="n">
        <x:f>L7*$T7</x:f>
        <x:v>0</x:v>
      </x:c>
      <x:c r="N7" s="60" t="n">
        <x:v>0.5</x:v>
      </x:c>
      <x:c r="O7" s="60" t="n">
        <x:f>N7*$T7</x:f>
        <x:v>5</x:v>
      </x:c>
      <x:c r="P7" s="60" t="n">
        <x:v>0</x:v>
      </x:c>
      <x:c r="Q7" s="60" t="n">
        <x:f>P7*$T7</x:f>
        <x:v>0</x:v>
      </x:c>
      <x:c r="R7" s="60" t="n">
        <x:v>0</x:v>
      </x:c>
      <x:c r="S7" s="60" t="n">
        <x:f>R7*$T7</x:f>
        <x:v>0</x:v>
      </x:c>
      <x:c r="T7" s="61" t="n">
        <x:v>10</x:v>
      </x:c>
      <x:c r="U7" s="58" t="str">
        <x:v>$14.99</x:v>
      </x:c>
      <x:c r="V7" s="52" t="str">
        <x:v>Punchy blue raspberry brings tart candy flavor up front, followed by a clean finish built for the compact MAX format.</x:v>
      </x:c>
      <x:c r="W7" s="52" t="str">
        <x:v>https://greenrevolution.com/products/beverages/</x:v>
      </x:c>
    </x:row>
    <x:row r="8" s="20" customFormat="1" ht="34" customHeight="1">
      <x:c r="A8" s="58" t="str">
        <x:v>Green Revolution</x:v>
      </x:c>
      <x:c r="B8" s="58" t="str">
        <x:v>Blueberry Acai MAX 2 oz</x:v>
      </x:c>
      <x:c r="C8" s="58" t="str">
        <x:v>Blueberry Acai</x:v>
      </x:c>
      <x:c r="D8" s="58" t="str">
        <x:v>Blend</x:v>
      </x:c>
      <x:c r="E8" s="58" t="str">
        <x:v>Indica Hybrid</x:v>
      </x:c>
      <x:c r="F8" s="58" t="str">
        <x:v>Shot</x:v>
      </x:c>
      <x:c r="G8" s="59" t="str">
        <x:v>2 oz</x:v>
      </x:c>
      <x:c r="H8" s="59" t="str">
        <x:v>THC:CBD:CBN</x:v>
      </x:c>
      <x:c r="I8" s="58" t="str">
        <x:v>2:1:1</x:v>
      </x:c>
      <x:c r="J8" s="60" t="n">
        <x:v>10</x:v>
      </x:c>
      <x:c r="K8" s="60" t="n">
        <x:f>J8*$T8</x:f>
        <x:v>100</x:v>
      </x:c>
      <x:c r="L8" s="60" t="n">
        <x:v>5</x:v>
      </x:c>
      <x:c r="M8" s="60" t="n">
        <x:f>L8*$T8</x:f>
        <x:v>50</x:v>
      </x:c>
      <x:c r="N8" s="60" t="n">
        <x:v>5</x:v>
      </x:c>
      <x:c r="O8" s="60" t="n">
        <x:f>N8*$T8</x:f>
        <x:v>50</x:v>
      </x:c>
      <x:c r="P8" s="60" t="n">
        <x:v>0</x:v>
      </x:c>
      <x:c r="Q8" s="60" t="n">
        <x:f>P8*$T8</x:f>
        <x:v>0</x:v>
      </x:c>
      <x:c r="R8" s="60" t="n">
        <x:v>0</x:v>
      </x:c>
      <x:c r="S8" s="60" t="n">
        <x:f>R8*$T8</x:f>
        <x:v>0</x:v>
      </x:c>
      <x:c r="T8" s="61" t="n">
        <x:v>10</x:v>
      </x:c>
      <x:c r="U8" s="58" t="str">
        <x:v>$16.99</x:v>
      </x:c>
      <x:c r="V8" s="52" t="str">
        <x:v>Deep blueberry and tangy acai make this shot darker and fruitier than the citrus-heavy options, with a lightly tart finish.</x:v>
      </x:c>
      <x:c r="W8" s="52" t="str">
        <x:v>https://greenrevolution.com/products/beverages/</x:v>
      </x:c>
    </x:row>
    <x:row r="9" s="20" customFormat="1" ht="34" customHeight="1">
      <x:c r="A9" s="58" t="str">
        <x:v>Green Revolution</x:v>
      </x:c>
      <x:c r="B9" s="58" t="str">
        <x:v>Lemon Ginger 12 oz</x:v>
      </x:c>
      <x:c r="C9" s="58" t="str">
        <x:v>Lemon Ginger</x:v>
      </x:c>
      <x:c r="D9" s="58" t="str">
        <x:v>CBD</x:v>
      </x:c>
      <x:c r="E9" s="58" t="str">
        <x:v>Holistic</x:v>
      </x:c>
      <x:c r="F9" s="58" t="str">
        <x:v>Drink</x:v>
      </x:c>
      <x:c r="G9" s="59" t="str">
        <x:v>12 oz</x:v>
      </x:c>
      <x:c r="H9" s="59" t="str">
        <x:v>CBD Only</x:v>
      </x:c>
      <x:c r="I9" s="58"/>
      <x:c r="J9" s="60" t="n">
        <x:v>0</x:v>
      </x:c>
      <x:c r="K9" s="60" t="n">
        <x:f>J9*$T9</x:f>
        <x:v>0</x:v>
      </x:c>
      <x:c r="L9" s="60" t="n">
        <x:v>10</x:v>
      </x:c>
      <x:c r="M9" s="60" t="n">
        <x:f>L9*$T9</x:f>
        <x:v>100</x:v>
      </x:c>
      <x:c r="N9" s="60" t="n">
        <x:v>0</x:v>
      </x:c>
      <x:c r="O9" s="60" t="n">
        <x:f>N9*$T9</x:f>
        <x:v>0</x:v>
      </x:c>
      <x:c r="P9" s="60" t="n">
        <x:v>0</x:v>
      </x:c>
      <x:c r="Q9" s="60" t="n">
        <x:f>P9*$T9</x:f>
        <x:v>0</x:v>
      </x:c>
      <x:c r="R9" s="60" t="n">
        <x:v>0</x:v>
      </x:c>
      <x:c r="S9" s="60" t="n">
        <x:f>R9*$T9</x:f>
        <x:v>0</x:v>
      </x:c>
      <x:c r="T9" s="61" t="n">
        <x:v>10</x:v>
      </x:c>
      <x:c r="U9" s="58" t="str">
        <x:v>$18.99</x:v>
      </x:c>
      <x:c r="V9" s="52" t="str">
        <x:v>Lemon keeps the can bright while ginger adds a dry little kick that lingers after the bubbles fade.</x:v>
      </x:c>
      <x:c r="W9" s="52" t="str">
        <x:v>https://greenrevolution.com/products/beverages/</x:v>
      </x:c>
    </x:row>
    <x:row r="10" s="20" customFormat="1" ht="34" customHeight="1">
      <x:c r="A10" s="58" t="str">
        <x:v>Green Revolution</x:v>
      </x:c>
      <x:c r="B10" s="58" t="str">
        <x:v>Pink Grapefruit 12 oz</x:v>
      </x:c>
      <x:c r="C10" s="58" t="str">
        <x:v>Pink Grapefruit</x:v>
      </x:c>
      <x:c r="D10" s="58" t="str">
        <x:v>Blend</x:v>
      </x:c>
      <x:c r="E10" s="58" t="str">
        <x:v>Holistic</x:v>
      </x:c>
      <x:c r="F10" s="58" t="str">
        <x:v>Drink</x:v>
      </x:c>
      <x:c r="G10" s="59" t="str">
        <x:v>12 oz</x:v>
      </x:c>
      <x:c r="H10" s="59" t="str">
        <x:v>THC:CBD</x:v>
      </x:c>
      <x:c r="I10" s="58" t="str">
        <x:v>1:4</x:v>
      </x:c>
      <x:c r="J10" s="60" t="n">
        <x:v>10</x:v>
      </x:c>
      <x:c r="K10" s="60" t="n">
        <x:f>J10*$T10</x:f>
        <x:v>100</x:v>
      </x:c>
      <x:c r="L10" s="60" t="n">
        <x:v>40</x:v>
      </x:c>
      <x:c r="M10" s="60" t="n">
        <x:f>L10*$T10</x:f>
        <x:v>400</x:v>
      </x:c>
      <x:c r="N10" s="60" t="n">
        <x:v>0</x:v>
      </x:c>
      <x:c r="O10" s="60" t="n">
        <x:f>N10*$T10</x:f>
        <x:v>0</x:v>
      </x:c>
      <x:c r="P10" s="60" t="n">
        <x:v>0</x:v>
      </x:c>
      <x:c r="Q10" s="60" t="n">
        <x:f>P10*$T10</x:f>
        <x:v>0</x:v>
      </x:c>
      <x:c r="R10" s="60" t="n">
        <x:v>0</x:v>
      </x:c>
      <x:c r="S10" s="60" t="n">
        <x:f>R10*$T10</x:f>
        <x:v>0</x:v>
      </x:c>
      <x:c r="T10" s="61" t="n">
        <x:v>10</x:v>
      </x:c>
      <x:c r="U10" s="58" t="str">
        <x:v>$19.99</x:v>
      </x:c>
      <x:c r="V10" s="52" t="str">
        <x:v>Tart pink grapefruit brings a pleasantly bitter citrus snap, keeping the profile lively instead of overly sweet.</x:v>
      </x:c>
      <x:c r="W10" s="52" t="str">
        <x:v>https://greenrevolution.com/products/beverages/</x:v>
      </x:c>
    </x:row>
    <x:row r="11" s="20" customFormat="1" ht="34" customHeight="1">
      <x:c r="A11" s="58" t="str">
        <x:v>Green Revolution</x:v>
      </x:c>
      <x:c r="B11" s="58" t="str">
        <x:v>Chamomile Lemon 2 oz</x:v>
      </x:c>
      <x:c r="C11" s="58" t="str">
        <x:v>Chamomile Lemon</x:v>
      </x:c>
      <x:c r="D11" s="58" t="str">
        <x:v>CBD</x:v>
      </x:c>
      <x:c r="E11" s="58" t="str">
        <x:v>Holistic</x:v>
      </x:c>
      <x:c r="F11" s="58" t="str">
        <x:v>Shot</x:v>
      </x:c>
      <x:c r="G11" s="59" t="str">
        <x:v>2 oz</x:v>
      </x:c>
      <x:c r="H11" s="59" t="str">
        <x:v>CBD Only</x:v>
      </x:c>
      <x:c r="I11" s="58"/>
      <x:c r="J11" s="60" t="n">
        <x:v>0</x:v>
      </x:c>
      <x:c r="K11" s="60" t="n">
        <x:f>J11*$T11</x:f>
        <x:v>0</x:v>
      </x:c>
      <x:c r="L11" s="60" t="n">
        <x:v>10</x:v>
      </x:c>
      <x:c r="M11" s="60" t="n">
        <x:f>L11*$T11</x:f>
        <x:v>100</x:v>
      </x:c>
      <x:c r="N11" s="60" t="n">
        <x:v>0</x:v>
      </x:c>
      <x:c r="O11" s="60" t="n">
        <x:f>N11*$T11</x:f>
        <x:v>0</x:v>
      </x:c>
      <x:c r="P11" s="60" t="n">
        <x:v>0</x:v>
      </x:c>
      <x:c r="Q11" s="60" t="n">
        <x:f>P11*$T11</x:f>
        <x:v>0</x:v>
      </x:c>
      <x:c r="R11" s="60" t="n">
        <x:v>0</x:v>
      </x:c>
      <x:c r="S11" s="60" t="n">
        <x:f>R11*$T11</x:f>
        <x:v>0</x:v>
      </x:c>
      <x:c r="T11" s="61" t="n">
        <x:v>10</x:v>
      </x:c>
      <x:c r="U11" s="58" t="str">
        <x:v>$14.99</x:v>
      </x:c>
      <x:c r="V11" s="52" t="str">
        <x:v>Soft chamomile smooths out the lemon's acidity, creating a gentler herbal-citrus shot with a calm, tea-like finish.</x:v>
      </x:c>
      <x:c r="W11" s="52" t="str">
        <x:v>https://greenrevolution.com/products/beverages/</x:v>
      </x:c>
    </x:row>
    <x:row r="12" s="20" customFormat="1" ht="34" customHeight="1">
      <x:c r="A12" s="58" t="str">
        <x:v>Sungaze</x:v>
      </x:c>
      <x:c r="B12" s="58" t="str">
        <x:v>Strawberry Citrus 12 oz</x:v>
      </x:c>
      <x:c r="C12" s="58" t="str">
        <x:v>Strawberry Citrus</x:v>
      </x:c>
      <x:c r="D12" s="58" t="str">
        <x:v>Blend</x:v>
      </x:c>
      <x:c r="E12" s="58" t="str">
        <x:v>Holistic</x:v>
      </x:c>
      <x:c r="F12" s="58" t="str">
        <x:v>Seltzer</x:v>
      </x:c>
      <x:c r="G12" s="59" t="str">
        <x:v>12 oz</x:v>
      </x:c>
      <x:c r="H12" s="59" t="str">
        <x:v>THC:CBD</x:v>
      </x:c>
      <x:c r="I12" s="58" t="str">
        <x:v>1:2</x:v>
      </x:c>
      <x:c r="J12" s="60" t="n">
        <x:v>2.5</x:v>
      </x:c>
      <x:c r="K12" s="60" t="n">
        <x:f>J12*$T12</x:f>
        <x:v>2.5</x:v>
      </x:c>
      <x:c r="L12" s="60" t="n">
        <x:v>5</x:v>
      </x:c>
      <x:c r="M12" s="60" t="n">
        <x:f>L12*$T12</x:f>
        <x:v>5</x:v>
      </x:c>
      <x:c r="N12" s="60" t="n">
        <x:v>0</x:v>
      </x:c>
      <x:c r="O12" s="60" t="n">
        <x:f>N12*$T12</x:f>
        <x:v>0</x:v>
      </x:c>
      <x:c r="P12" s="60" t="n">
        <x:v>0</x:v>
      </x:c>
      <x:c r="Q12" s="60" t="n">
        <x:f>P12*$T12</x:f>
        <x:v>0</x:v>
      </x:c>
      <x:c r="R12" s="60" t="n">
        <x:v>0</x:v>
      </x:c>
      <x:c r="S12" s="60" t="n">
        <x:f>R12*$T12</x:f>
        <x:v>0</x:v>
      </x:c>
      <x:c r="T12" s="61" t="n">
        <x:v>1</x:v>
      </x:c>
      <x:c r="U12" s="58" t="str">
        <x:v>$5.99</x:v>
      </x:c>
      <x:c r="V12" s="52" t="str">
        <x:v>Fresh strawberry adds just enough sweetness to a crisp citrus seltzer, keeping the can light and easy to sip.</x:v>
      </x:c>
      <x:c r="W12" s="52" t="str">
        <x:v>https://www.drinksungaze.com/find-sungaze</x:v>
      </x:c>
    </x:row>
    <x:row r="13" s="20" customFormat="1" ht="34" customHeight="1">
      <x:c r="A13" s="58" t="str">
        <x:v>Sungaze</x:v>
      </x:c>
      <x:c r="B13" s="58" t="str">
        <x:v>Lime Agave 12 oz</x:v>
      </x:c>
      <x:c r="C13" s="58" t="str">
        <x:v>Lime Agave</x:v>
      </x:c>
      <x:c r="D13" s="58" t="str">
        <x:v>Blend</x:v>
      </x:c>
      <x:c r="E13" s="58" t="str">
        <x:v>Holistic</x:v>
      </x:c>
      <x:c r="F13" s="58" t="str">
        <x:v>Seltzer</x:v>
      </x:c>
      <x:c r="G13" s="59" t="str">
        <x:v>12 oz</x:v>
      </x:c>
      <x:c r="H13" s="59" t="str">
        <x:v>THC:CBD</x:v>
      </x:c>
      <x:c r="I13" s="58" t="str">
        <x:v>1:2</x:v>
      </x:c>
      <x:c r="J13" s="60" t="n">
        <x:v>2.5</x:v>
      </x:c>
      <x:c r="K13" s="60" t="n">
        <x:f>J13*$T13</x:f>
        <x:v>2.5</x:v>
      </x:c>
      <x:c r="L13" s="60" t="n">
        <x:v>5</x:v>
      </x:c>
      <x:c r="M13" s="60" t="n">
        <x:f>L13*$T13</x:f>
        <x:v>5</x:v>
      </x:c>
      <x:c r="N13" s="60" t="n">
        <x:v>0</x:v>
      </x:c>
      <x:c r="O13" s="60" t="n">
        <x:f>N13*$T13</x:f>
        <x:v>0</x:v>
      </x:c>
      <x:c r="P13" s="60" t="n">
        <x:v>0</x:v>
      </x:c>
      <x:c r="Q13" s="60" t="n">
        <x:f>P13*$T13</x:f>
        <x:v>0</x:v>
      </x:c>
      <x:c r="R13" s="60" t="n">
        <x:v>0</x:v>
      </x:c>
      <x:c r="S13" s="60" t="n">
        <x:f>R13*$T13</x:f>
        <x:v>0</x:v>
      </x:c>
      <x:c r="T13" s="61" t="n">
        <x:v>1</x:v>
      </x:c>
      <x:c r="U13" s="58" t="str">
        <x:v>$5.99</x:v>
      </x:c>
      <x:c r="V13" s="52" t="str">
        <x:v>Clean lime acidity is rounded by a touch of agave, giving this sparkling seltzer a simple margarita-adjacent profile.</x:v>
      </x:c>
      <x:c r="W13" s="52" t="str">
        <x:v>https://www.drinksungaze.com/find-sungaze</x:v>
      </x:c>
    </x:row>
    <x:row r="14" s="20" customFormat="1" ht="34" customHeight="1">
      <x:c r="A14" s="58" t="str">
        <x:v>Sungaze</x:v>
      </x:c>
      <x:c r="B14" s="58" t="str">
        <x:v>Lemon Ginger 12 oz</x:v>
      </x:c>
      <x:c r="C14" s="58" t="str">
        <x:v>Lemon Ginger</x:v>
      </x:c>
      <x:c r="D14" s="58" t="str">
        <x:v>Blend</x:v>
      </x:c>
      <x:c r="E14" s="58" t="str">
        <x:v>Holistic</x:v>
      </x:c>
      <x:c r="F14" s="58" t="str">
        <x:v>Seltzer</x:v>
      </x:c>
      <x:c r="G14" s="59" t="str">
        <x:v>12 oz</x:v>
      </x:c>
      <x:c r="H14" s="59" t="str">
        <x:v>THC:CBD</x:v>
      </x:c>
      <x:c r="I14" s="58" t="str">
        <x:v>1:2</x:v>
      </x:c>
      <x:c r="J14" s="60" t="n">
        <x:v>2.5</x:v>
      </x:c>
      <x:c r="K14" s="60" t="n">
        <x:f>J14*$T14</x:f>
        <x:v>2.5</x:v>
      </x:c>
      <x:c r="L14" s="60" t="n">
        <x:v>5</x:v>
      </x:c>
      <x:c r="M14" s="60" t="n">
        <x:f>L14*$T14</x:f>
        <x:v>5</x:v>
      </x:c>
      <x:c r="N14" s="60" t="n">
        <x:v>0</x:v>
      </x:c>
      <x:c r="O14" s="60" t="n">
        <x:f>N14*$T14</x:f>
        <x:v>0</x:v>
      </x:c>
      <x:c r="P14" s="60" t="n">
        <x:v>0</x:v>
      </x:c>
      <x:c r="Q14" s="60" t="n">
        <x:f>P14*$T14</x:f>
        <x:v>0</x:v>
      </x:c>
      <x:c r="R14" s="60" t="n">
        <x:v>0</x:v>
      </x:c>
      <x:c r="S14" s="60" t="n">
        <x:f>R14*$T14</x:f>
        <x:v>0</x:v>
      </x:c>
      <x:c r="T14" s="61" t="n">
        <x:v>1</x:v>
      </x:c>
      <x:c r="U14" s="58" t="str">
        <x:v>$5.99</x:v>
      </x:c>
      <x:c r="V14" s="52" t="str">
        <x:v>Lemon keeps the can bright while ginger adds a dry little kick that lingers after the bubbles fade, shaped to Sungaze's seltzer style.</x:v>
      </x:c>
      <x:c r="W14" s="52" t="str">
        <x:v>https://www.drinksungaze.com/find-sungaze</x:v>
      </x:c>
    </x:row>
    <x:row r="15" s="20" customFormat="1" ht="34" customHeight="1">
      <x:c r="A15" s="58" t="str">
        <x:v>Sungaze</x:v>
      </x:c>
      <x:c r="B15" s="58" t="str">
        <x:v>Strawberry Citrus Supernova 16 oz</x:v>
      </x:c>
      <x:c r="C15" s="58" t="str">
        <x:v>Strawberry Citrus</x:v>
      </x:c>
      <x:c r="D15" s="58" t="str">
        <x:v>Blend</x:v>
      </x:c>
      <x:c r="E15" s="58" t="str">
        <x:v>Hybrid</x:v>
      </x:c>
      <x:c r="F15" s="58" t="str">
        <x:v>Seltzer</x:v>
      </x:c>
      <x:c r="G15" s="59" t="str">
        <x:v>16 oz</x:v>
      </x:c>
      <x:c r="H15" s="59" t="str">
        <x:v>THC:CBD</x:v>
      </x:c>
      <x:c r="I15" s="58" t="str">
        <x:v>2:1</x:v>
      </x:c>
      <x:c r="J15" s="60" t="n">
        <x:v>10</x:v>
      </x:c>
      <x:c r="K15" s="60" t="n">
        <x:f>J15*$T15</x:f>
        <x:v>10</x:v>
      </x:c>
      <x:c r="L15" s="60" t="n">
        <x:v>5</x:v>
      </x:c>
      <x:c r="M15" s="60" t="n">
        <x:f>L15*$T15</x:f>
        <x:v>5</x:v>
      </x:c>
      <x:c r="N15" s="60" t="n">
        <x:v>0</x:v>
      </x:c>
      <x:c r="O15" s="60" t="n">
        <x:f>N15*$T15</x:f>
        <x:v>0</x:v>
      </x:c>
      <x:c r="P15" s="60" t="n">
        <x:v>0</x:v>
      </x:c>
      <x:c r="Q15" s="60" t="n">
        <x:f>P15*$T15</x:f>
        <x:v>0</x:v>
      </x:c>
      <x:c r="R15" s="60" t="n">
        <x:v>0</x:v>
      </x:c>
      <x:c r="S15" s="60" t="n">
        <x:f>R15*$T15</x:f>
        <x:v>0</x:v>
      </x:c>
      <x:c r="T15" s="61" t="n">
        <x:v>1</x:v>
      </x:c>
      <x:c r="U15" s="58" t="str">
        <x:v>$7.99</x:v>
      </x:c>
      <x:c r="V15" s="52" t="str">
        <x:v>The larger Supernova format pushes ripe strawberry a little harder while citrus and carbonation keep it refreshing.</x:v>
      </x:c>
      <x:c r="W15" s="52" t="str">
        <x:v>https://www.drinksungaze.com/find-sungaze</x:v>
      </x:c>
    </x:row>
    <x:row r="16" s="20" customFormat="1" ht="34" customHeight="1">
      <x:c r="A16" s="58" t="str">
        <x:v>Sungaze</x:v>
      </x:c>
      <x:c r="B16" s="58" t="str">
        <x:v>Lime Agave Supernova 16 oz</x:v>
      </x:c>
      <x:c r="C16" s="58" t="str">
        <x:v>Lime Agave</x:v>
      </x:c>
      <x:c r="D16" s="58" t="str">
        <x:v>Blend</x:v>
      </x:c>
      <x:c r="E16" s="58" t="str">
        <x:v>Sativa</x:v>
      </x:c>
      <x:c r="F16" s="58" t="str">
        <x:v>Seltzer</x:v>
      </x:c>
      <x:c r="G16" s="59" t="str">
        <x:v>16 oz</x:v>
      </x:c>
      <x:c r="H16" s="59" t="str">
        <x:v>THC:CBD</x:v>
      </x:c>
      <x:c r="I16" s="58" t="str">
        <x:v>2:1</x:v>
      </x:c>
      <x:c r="J16" s="60" t="n">
        <x:v>10</x:v>
      </x:c>
      <x:c r="K16" s="60" t="n">
        <x:f>J16*$T16</x:f>
        <x:v>10</x:v>
      </x:c>
      <x:c r="L16" s="60" t="n">
        <x:v>5</x:v>
      </x:c>
      <x:c r="M16" s="60" t="n">
        <x:f>L16*$T16</x:f>
        <x:v>5</x:v>
      </x:c>
      <x:c r="N16" s="60" t="n">
        <x:v>0</x:v>
      </x:c>
      <x:c r="O16" s="60" t="n">
        <x:f>N16*$T16</x:f>
        <x:v>0</x:v>
      </x:c>
      <x:c r="P16" s="60" t="n">
        <x:v>0</x:v>
      </x:c>
      <x:c r="Q16" s="60" t="n">
        <x:f>P16*$T16</x:f>
        <x:v>0</x:v>
      </x:c>
      <x:c r="R16" s="60" t="n">
        <x:v>0</x:v>
      </x:c>
      <x:c r="S16" s="60" t="n">
        <x:f>R16*$T16</x:f>
        <x:v>0</x:v>
      </x:c>
      <x:c r="T16" s="61" t="n">
        <x:v>1</x:v>
      </x:c>
      <x:c r="U16" s="58" t="str">
        <x:v>$7.99</x:v>
      </x:c>
      <x:c r="V16" s="52" t="str">
        <x:v>Zesty lime leads this bigger can, with subtle agave sweetness balancing the sharper citrus and sparkling finish.</x:v>
      </x:c>
      <x:c r="W16" s="52" t="str">
        <x:v>https://www.drinksungaze.com/find-sungaze</x:v>
      </x:c>
    </x:row>
    <x:row r="17" s="20" customFormat="1" ht="34" customHeight="1">
      <x:c r="A17" s="58" t="str">
        <x:v>Sungaze</x:v>
      </x:c>
      <x:c r="B17" s="58" t="str">
        <x:v>Lemon Ginger Supernova 16 oz</x:v>
      </x:c>
      <x:c r="C17" s="58" t="str">
        <x:v>Lemon Ginger</x:v>
      </x:c>
      <x:c r="D17" s="58" t="str">
        <x:v>Blend</x:v>
      </x:c>
      <x:c r="E17" s="58" t="str">
        <x:v>Sativa Hybrid</x:v>
      </x:c>
      <x:c r="F17" s="58" t="str">
        <x:v>Seltzer</x:v>
      </x:c>
      <x:c r="G17" s="59" t="str">
        <x:v>16 oz</x:v>
      </x:c>
      <x:c r="H17" s="59" t="str">
        <x:v>THC:CBD</x:v>
      </x:c>
      <x:c r="I17" s="58" t="str">
        <x:v>2:1</x:v>
      </x:c>
      <x:c r="J17" s="60" t="n">
        <x:v>10</x:v>
      </x:c>
      <x:c r="K17" s="60" t="n">
        <x:f>J17*$T17</x:f>
        <x:v>10</x:v>
      </x:c>
      <x:c r="L17" s="60" t="n">
        <x:v>5</x:v>
      </x:c>
      <x:c r="M17" s="60" t="n">
        <x:f>L17*$T17</x:f>
        <x:v>5</x:v>
      </x:c>
      <x:c r="N17" s="60" t="n">
        <x:v>0</x:v>
      </x:c>
      <x:c r="O17" s="60" t="n">
        <x:f>N17*$T17</x:f>
        <x:v>0</x:v>
      </x:c>
      <x:c r="P17" s="60" t="n">
        <x:v>0</x:v>
      </x:c>
      <x:c r="Q17" s="60" t="n">
        <x:f>P17*$T17</x:f>
        <x:v>0</x:v>
      </x:c>
      <x:c r="R17" s="60" t="n">
        <x:v>0</x:v>
      </x:c>
      <x:c r="S17" s="60" t="n">
        <x:f>R17*$T17</x:f>
        <x:v>0</x:v>
      </x:c>
      <x:c r="T17" s="61" t="n">
        <x:v>1</x:v>
      </x:c>
      <x:c r="U17" s="58" t="str">
        <x:v>$7.99</x:v>
      </x:c>
      <x:c r="V17" s="52" t="str">
        <x:v>A bigger pour of lemon and ginger stays crisp and lightly spicy, with enough carbonation to keep the stronger format refreshing.</x:v>
      </x:c>
      <x:c r="W17" s="52" t="str">
        <x:v>https://www.drinksungaze.com/find-sungaze</x:v>
      </x:c>
    </x:row>
    <x:row r="18" s="20" customFormat="1" ht="34" customHeight="1">
      <x:c r="A18" s="58" t="str">
        <x:v>Sungaze</x:v>
      </x:c>
      <x:c r="B18" s="58" t="str">
        <x:v>Ruby Grapefruit 12 oz</x:v>
      </x:c>
      <x:c r="C18" s="58" t="str">
        <x:v>Ruby Grapefruit</x:v>
      </x:c>
      <x:c r="D18" s="58" t="str">
        <x:v>THC Only</x:v>
      </x:c>
      <x:c r="E18" s="58" t="str">
        <x:v>Sativa</x:v>
      </x:c>
      <x:c r="F18" s="58" t="str">
        <x:v>Seltzer</x:v>
      </x:c>
      <x:c r="G18" s="59" t="str">
        <x:v>12 oz</x:v>
      </x:c>
      <x:c r="H18" s="59" t="str">
        <x:v>THC Only</x:v>
      </x:c>
      <x:c r="I18" s="58"/>
      <x:c r="J18" s="60" t="n">
        <x:v>5</x:v>
      </x:c>
      <x:c r="K18" s="60" t="n">
        <x:f>J18*$T18</x:f>
        <x:v>5</x:v>
      </x:c>
      <x:c r="L18" s="60" t="n">
        <x:v>0</x:v>
      </x:c>
      <x:c r="M18" s="60" t="n">
        <x:f>L18*$T18</x:f>
        <x:v>0</x:v>
      </x:c>
      <x:c r="N18" s="60" t="n">
        <x:v>0</x:v>
      </x:c>
      <x:c r="O18" s="60" t="n">
        <x:f>N18*$T18</x:f>
        <x:v>0</x:v>
      </x:c>
      <x:c r="P18" s="60" t="n">
        <x:v>0</x:v>
      </x:c>
      <x:c r="Q18" s="60" t="n">
        <x:f>P18*$T18</x:f>
        <x:v>0</x:v>
      </x:c>
      <x:c r="R18" s="60" t="n">
        <x:v>0</x:v>
      </x:c>
      <x:c r="S18" s="60" t="n">
        <x:f>R18*$T18</x:f>
        <x:v>0</x:v>
      </x:c>
      <x:c r="T18" s="61" t="n">
        <x:v>1</x:v>
      </x:c>
      <x:c r="U18" s="58" t="str">
        <x:v>$5.99</x:v>
      </x:c>
      <x:c r="V18" s="52" t="str">
        <x:v>Ruby grapefruit gives this seltzer a dry, tart character with just enough fruit sweetness to soften the citrus bite.</x:v>
      </x:c>
      <x:c r="W18" s="52" t="str">
        <x:v>https://www.drinksungaze.com/find-sungaze</x:v>
      </x:c>
    </x:row>
    <x:row r="19" s="20" customFormat="1" ht="34" customHeight="1">
      <x:c r="A19" s="58" t="str">
        <x:v>Sungaze</x:v>
      </x:c>
      <x:c r="B19" s="58" t="str">
        <x:v>Cucumber Lime 12 oz</x:v>
      </x:c>
      <x:c r="C19" s="58" t="str">
        <x:v>Cucumber Lime</x:v>
      </x:c>
      <x:c r="D19" s="58" t="str">
        <x:v>CBD</x:v>
      </x:c>
      <x:c r="E19" s="58" t="str">
        <x:v>Holistic</x:v>
      </x:c>
      <x:c r="F19" s="58" t="str">
        <x:v>Seltzer</x:v>
      </x:c>
      <x:c r="G19" s="59" t="str">
        <x:v>12 oz</x:v>
      </x:c>
      <x:c r="H19" s="59" t="str">
        <x:v>CBD Only</x:v>
      </x:c>
      <x:c r="I19" s="58"/>
      <x:c r="J19" s="60" t="n">
        <x:v>0</x:v>
      </x:c>
      <x:c r="K19" s="60" t="n">
        <x:f>J19*$T19</x:f>
        <x:v>0</x:v>
      </x:c>
      <x:c r="L19" s="60" t="n">
        <x:v>5</x:v>
      </x:c>
      <x:c r="M19" s="60" t="n">
        <x:f>L19*$T19</x:f>
        <x:v>5</x:v>
      </x:c>
      <x:c r="N19" s="60" t="n">
        <x:v>0</x:v>
      </x:c>
      <x:c r="O19" s="60" t="n">
        <x:f>N19*$T19</x:f>
        <x:v>0</x:v>
      </x:c>
      <x:c r="P19" s="60" t="n">
        <x:v>0</x:v>
      </x:c>
      <x:c r="Q19" s="60" t="n">
        <x:f>P19*$T19</x:f>
        <x:v>0</x:v>
      </x:c>
      <x:c r="R19" s="60" t="n">
        <x:v>0</x:v>
      </x:c>
      <x:c r="S19" s="60" t="n">
        <x:f>R19*$T19</x:f>
        <x:v>0</x:v>
      </x:c>
      <x:c r="T19" s="61" t="n">
        <x:v>1</x:v>
      </x:c>
      <x:c r="U19" s="58" t="str">
        <x:v>$5.49</x:v>
      </x:c>
      <x:c r="V19" s="52" t="str">
        <x:v>Cool cucumber and fresh lime make this the driest-feeling seltzer in the lineup, finishing clean and garden-crisp.</x:v>
      </x:c>
      <x:c r="W19" s="52" t="str">
        <x:v>https://www.drinksungaze.com/find-sungaze</x:v>
      </x:c>
    </x:row>
    <x:row r="20" s="20" customFormat="1" ht="34" customHeight="1">
      <x:c r="A20" s="58" t="str">
        <x:v>Major</x:v>
      </x:c>
      <x:c r="B20" s="58" t="str">
        <x:v>Blackberry Lemonade Blast 2 oz</x:v>
      </x:c>
      <x:c r="C20" s="58" t="str">
        <x:v>Blackberry Lemonade</x:v>
      </x:c>
      <x:c r="D20" s="58" t="str">
        <x:v>THC Only</x:v>
      </x:c>
      <x:c r="E20" s="58" t="str">
        <x:v>Indica Hybrid</x:v>
      </x:c>
      <x:c r="F20" s="58" t="str">
        <x:v>Shot</x:v>
      </x:c>
      <x:c r="G20" s="59" t="str">
        <x:v>2 oz</x:v>
      </x:c>
      <x:c r="H20" s="59" t="str">
        <x:v>THC Only</x:v>
      </x:c>
      <x:c r="I20" s="58"/>
      <x:c r="J20" s="60" t="n">
        <x:v>10</x:v>
      </x:c>
      <x:c r="K20" s="60" t="n">
        <x:f>J20*$T20</x:f>
        <x:v>100</x:v>
      </x:c>
      <x:c r="L20" s="60" t="n">
        <x:v>0</x:v>
      </x:c>
      <x:c r="M20" s="60" t="n">
        <x:f>L20*$T20</x:f>
        <x:v>0</x:v>
      </x:c>
      <x:c r="N20" s="60" t="n">
        <x:v>0</x:v>
      </x:c>
      <x:c r="O20" s="60" t="n">
        <x:f>N20*$T20</x:f>
        <x:v>0</x:v>
      </x:c>
      <x:c r="P20" s="60" t="n">
        <x:v>0</x:v>
      </x:c>
      <x:c r="Q20" s="60" t="n">
        <x:f>P20*$T20</x:f>
        <x:v>0</x:v>
      </x:c>
      <x:c r="R20" s="60" t="n">
        <x:v>0</x:v>
      </x:c>
      <x:c r="S20" s="60" t="n">
        <x:f>R20*$T20</x:f>
        <x:v>0</x:v>
      </x:c>
      <x:c r="T20" s="61" t="n">
        <x:v>10</x:v>
      </x:c>
      <x:c r="U20" s="58" t="str">
        <x:v>$13.99</x:v>
      </x:c>
      <x:c r="V20" s="52" t="str">
        <x:v>Blackberry sweetness lands first, then lemonade acidity sharpens the finish in this small but intensely flavored shot.</x:v>
      </x:c>
      <x:c r="W20" s="52" t="str">
        <x:v>https://www.nevisbrands.com/major</x:v>
      </x:c>
    </x:row>
    <x:row r="21" s="20" customFormat="1" ht="34" customHeight="1">
      <x:c r="A21" s="58" t="str">
        <x:v>Major</x:v>
      </x:c>
      <x:c r="B21" s="58" t="str">
        <x:v>Fruit Punch Blast 2 oz</x:v>
      </x:c>
      <x:c r="C21" s="58" t="str">
        <x:v>Fruit Punch</x:v>
      </x:c>
      <x:c r="D21" s="58" t="str">
        <x:v>THC Only</x:v>
      </x:c>
      <x:c r="E21" s="58" t="str">
        <x:v>Hybrid</x:v>
      </x:c>
      <x:c r="F21" s="58" t="str">
        <x:v>Shot</x:v>
      </x:c>
      <x:c r="G21" s="59" t="str">
        <x:v>2 oz</x:v>
      </x:c>
      <x:c r="H21" s="59" t="str">
        <x:v>THC Only</x:v>
      </x:c>
      <x:c r="I21" s="58"/>
      <x:c r="J21" s="60" t="n">
        <x:v>10</x:v>
      </x:c>
      <x:c r="K21" s="60" t="n">
        <x:f>J21*$T21</x:f>
        <x:v>100</x:v>
      </x:c>
      <x:c r="L21" s="60" t="n">
        <x:v>0</x:v>
      </x:c>
      <x:c r="M21" s="60" t="n">
        <x:f>L21*$T21</x:f>
        <x:v>0</x:v>
      </x:c>
      <x:c r="N21" s="60" t="n">
        <x:v>0</x:v>
      </x:c>
      <x:c r="O21" s="60" t="n">
        <x:f>N21*$T21</x:f>
        <x:v>0</x:v>
      </x:c>
      <x:c r="P21" s="60" t="n">
        <x:v>0</x:v>
      </x:c>
      <x:c r="Q21" s="60" t="n">
        <x:f>P21*$T21</x:f>
        <x:v>0</x:v>
      </x:c>
      <x:c r="R21" s="60" t="n">
        <x:v>0</x:v>
      </x:c>
      <x:c r="S21" s="60" t="n">
        <x:f>R21*$T21</x:f>
        <x:v>0</x:v>
      </x:c>
      <x:c r="T21" s="61" t="n">
        <x:v>10</x:v>
      </x:c>
      <x:c r="U21" s="58" t="str">
        <x:v>$12.99</x:v>
      </x:c>
      <x:c r="V21" s="52" t="str">
        <x:v>A nostalgic mix of red fruit and citrus gives this shot a bold fruit-punch profile that suits Major's compact format.</x:v>
      </x:c>
      <x:c r="W21" s="52" t="str">
        <x:v>https://www.nevisbrands.com/major</x:v>
      </x:c>
    </x:row>
    <x:row r="22" s="20" customFormat="1" ht="34" customHeight="1">
      <x:c r="A22" s="58" t="str">
        <x:v>Major</x:v>
      </x:c>
      <x:c r="B22" s="58" t="str">
        <x:v>Blueberry Blast 2 oz</x:v>
      </x:c>
      <x:c r="C22" s="58" t="str">
        <x:v>Blueberry</x:v>
      </x:c>
      <x:c r="D22" s="58" t="str">
        <x:v>THC Only</x:v>
      </x:c>
      <x:c r="E22" s="58" t="str">
        <x:v>Indica Hybrid</x:v>
      </x:c>
      <x:c r="F22" s="58" t="str">
        <x:v>Shot</x:v>
      </x:c>
      <x:c r="G22" s="59" t="str">
        <x:v>2 oz</x:v>
      </x:c>
      <x:c r="H22" s="59" t="str">
        <x:v>THC Only</x:v>
      </x:c>
      <x:c r="I22" s="58"/>
      <x:c r="J22" s="60" t="n">
        <x:v>10</x:v>
      </x:c>
      <x:c r="K22" s="60" t="n">
        <x:f>J22*$T22</x:f>
        <x:v>100</x:v>
      </x:c>
      <x:c r="L22" s="60" t="n">
        <x:v>0</x:v>
      </x:c>
      <x:c r="M22" s="60" t="n">
        <x:f>L22*$T22</x:f>
        <x:v>0</x:v>
      </x:c>
      <x:c r="N22" s="60" t="n">
        <x:v>0</x:v>
      </x:c>
      <x:c r="O22" s="60" t="n">
        <x:f>N22*$T22</x:f>
        <x:v>0</x:v>
      </x:c>
      <x:c r="P22" s="60" t="n">
        <x:v>0</x:v>
      </x:c>
      <x:c r="Q22" s="60" t="n">
        <x:f>P22*$T22</x:f>
        <x:v>0</x:v>
      </x:c>
      <x:c r="R22" s="60" t="n">
        <x:v>0</x:v>
      </x:c>
      <x:c r="S22" s="60" t="n">
        <x:f>R22*$T22</x:f>
        <x:v>0</x:v>
      </x:c>
      <x:c r="T22" s="61" t="n">
        <x:v>10</x:v>
      </x:c>
      <x:c r="U22" s="58" t="str">
        <x:v>$13.99</x:v>
      </x:c>
      <x:c r="V22" s="52" t="str">
        <x:v>Blueberry comes through dark and jammy with a tart edge, packing plenty of fruit character into two ounces.</x:v>
      </x:c>
      <x:c r="W22" s="52" t="str">
        <x:v>https://www.nevisbrands.com/major</x:v>
      </x:c>
    </x:row>
    <x:row r="23" s="20" customFormat="1" ht="34" customHeight="1">
      <x:c r="A23" s="58" t="str">
        <x:v>Major</x:v>
      </x:c>
      <x:c r="B23" s="58" t="str">
        <x:v>Apple Peach Blast 2 oz</x:v>
      </x:c>
      <x:c r="C23" s="58" t="str">
        <x:v>Apple Peach</x:v>
      </x:c>
      <x:c r="D23" s="58" t="str">
        <x:v>THC Only</x:v>
      </x:c>
      <x:c r="E23" s="58" t="str">
        <x:v>Sativa Hybrid</x:v>
      </x:c>
      <x:c r="F23" s="58" t="str">
        <x:v>Shot</x:v>
      </x:c>
      <x:c r="G23" s="59" t="str">
        <x:v>2 oz</x:v>
      </x:c>
      <x:c r="H23" s="59" t="str">
        <x:v>THC Only</x:v>
      </x:c>
      <x:c r="I23" s="58"/>
      <x:c r="J23" s="60" t="n">
        <x:v>10</x:v>
      </x:c>
      <x:c r="K23" s="60" t="n">
        <x:f>J23*$T23</x:f>
        <x:v>100</x:v>
      </x:c>
      <x:c r="L23" s="60" t="n">
        <x:v>0</x:v>
      </x:c>
      <x:c r="M23" s="60" t="n">
        <x:f>L23*$T23</x:f>
        <x:v>0</x:v>
      </x:c>
      <x:c r="N23" s="60" t="n">
        <x:v>0</x:v>
      </x:c>
      <x:c r="O23" s="60" t="n">
        <x:f>N23*$T23</x:f>
        <x:v>0</x:v>
      </x:c>
      <x:c r="P23" s="60" t="n">
        <x:v>0</x:v>
      </x:c>
      <x:c r="Q23" s="60" t="n">
        <x:f>P23*$T23</x:f>
        <x:v>0</x:v>
      </x:c>
      <x:c r="R23" s="60" t="n">
        <x:v>0</x:v>
      </x:c>
      <x:c r="S23" s="60" t="n">
        <x:f>R23*$T23</x:f>
        <x:v>0</x:v>
      </x:c>
      <x:c r="T23" s="61" t="n">
        <x:v>10</x:v>
      </x:c>
      <x:c r="U23" s="58" t="str">
        <x:v>$13.99</x:v>
      </x:c>
      <x:c r="V23" s="52" t="str">
        <x:v>Crisp apple brightens soft peach sweetness, giving this shot a juicy orchard-fruit balance rather than a single-note candy flavor.</x:v>
      </x:c>
      <x:c r="W23" s="52" t="str">
        <x:v>https://www.nevisbrands.com/major</x:v>
      </x:c>
    </x:row>
    <x:row r="24" s="20" customFormat="1" ht="34" customHeight="1">
      <x:c r="A24" s="58" t="str">
        <x:v>Major</x:v>
      </x:c>
      <x:c r="B24" s="58" t="str">
        <x:v>Mojo-Rita Blast 2 oz</x:v>
      </x:c>
      <x:c r="C24" s="58" t="str">
        <x:v>Mojo-Rita</x:v>
      </x:c>
      <x:c r="D24" s="58" t="str">
        <x:v>THC Only</x:v>
      </x:c>
      <x:c r="E24" s="58" t="str">
        <x:v>Hybrid</x:v>
      </x:c>
      <x:c r="F24" s="58" t="str">
        <x:v>Shot</x:v>
      </x:c>
      <x:c r="G24" s="59" t="str">
        <x:v>2 oz</x:v>
      </x:c>
      <x:c r="H24" s="59" t="str">
        <x:v>THC Only</x:v>
      </x:c>
      <x:c r="I24" s="58"/>
      <x:c r="J24" s="60" t="n">
        <x:v>10</x:v>
      </x:c>
      <x:c r="K24" s="60" t="n">
        <x:f>J24*$T24</x:f>
        <x:v>100</x:v>
      </x:c>
      <x:c r="L24" s="60" t="n">
        <x:v>0</x:v>
      </x:c>
      <x:c r="M24" s="60" t="n">
        <x:f>L24*$T24</x:f>
        <x:v>0</x:v>
      </x:c>
      <x:c r="N24" s="60" t="n">
        <x:v>0</x:v>
      </x:c>
      <x:c r="O24" s="60" t="n">
        <x:f>N24*$T24</x:f>
        <x:v>0</x:v>
      </x:c>
      <x:c r="P24" s="60" t="n">
        <x:v>0</x:v>
      </x:c>
      <x:c r="Q24" s="60" t="n">
        <x:f>P24*$T24</x:f>
        <x:v>0</x:v>
      </x:c>
      <x:c r="R24" s="60" t="n">
        <x:v>0</x:v>
      </x:c>
      <x:c r="S24" s="60" t="n">
        <x:f>R24*$T24</x:f>
        <x:v>0</x:v>
      </x:c>
      <x:c r="T24" s="61" t="n">
        <x:v>10</x:v>
      </x:c>
      <x:c r="U24" s="58" t="str">
        <x:v>$14.99</x:v>
      </x:c>
      <x:c r="V24" s="52" t="str">
        <x:v>Lime-forward and cocktail-inspired, this shot leans into tart citrus with a lightly sweet finish reminiscent of a margarita mixer.</x:v>
      </x:c>
      <x:c r="W24" s="52" t="str">
        <x:v>https://www.nevisbrands.com/major</x:v>
      </x:c>
    </x:row>
    <x:row r="25" s="20" customFormat="1" ht="34" customHeight="1">
      <x:c r="A25" s="58" t="str">
        <x:v>Major</x:v>
      </x:c>
      <x:c r="B25" s="58" t="str">
        <x:v>Volcanic Orange Mango 6.7 oz</x:v>
      </x:c>
      <x:c r="C25" s="58" t="str">
        <x:v>Orange Mango</x:v>
      </x:c>
      <x:c r="D25" s="58" t="str">
        <x:v>THC Only</x:v>
      </x:c>
      <x:c r="E25" s="58" t="str">
        <x:v>Sativa Hybrid</x:v>
      </x:c>
      <x:c r="F25" s="58" t="str">
        <x:v>Drink</x:v>
      </x:c>
      <x:c r="G25" s="59" t="str">
        <x:v>6.7 oz</x:v>
      </x:c>
      <x:c r="H25" s="59" t="str">
        <x:v>THC Only</x:v>
      </x:c>
      <x:c r="I25" s="58"/>
      <x:c r="J25" s="60" t="n">
        <x:v>10</x:v>
      </x:c>
      <x:c r="K25" s="60" t="n">
        <x:f>J25*$T25</x:f>
        <x:v>100</x:v>
      </x:c>
      <x:c r="L25" s="60" t="n">
        <x:v>0</x:v>
      </x:c>
      <x:c r="M25" s="60" t="n">
        <x:f>L25*$T25</x:f>
        <x:v>0</x:v>
      </x:c>
      <x:c r="N25" s="60" t="n">
        <x:v>0</x:v>
      </x:c>
      <x:c r="O25" s="60" t="n">
        <x:f>N25*$T25</x:f>
        <x:v>0</x:v>
      </x:c>
      <x:c r="P25" s="60" t="n">
        <x:v>0</x:v>
      </x:c>
      <x:c r="Q25" s="60" t="n">
        <x:f>P25*$T25</x:f>
        <x:v>0</x:v>
      </x:c>
      <x:c r="R25" s="60" t="n">
        <x:v>0</x:v>
      </x:c>
      <x:c r="S25" s="60" t="n">
        <x:f>R25*$T25</x:f>
        <x:v>0</x:v>
      </x:c>
      <x:c r="T25" s="61" t="n">
        <x:v>10</x:v>
      </x:c>
      <x:c r="U25" s="58" t="str">
        <x:v>$15.99</x:v>
      </x:c>
      <x:c r="V25" s="52" t="str">
        <x:v>Bright orange lifts ripe mango into a juicy tropical blend with enough citrus acidity to keep the sweetness moving.</x:v>
      </x:c>
      <x:c r="W25" s="52" t="str">
        <x:v>https://www.nevisbrands.com/major</x:v>
      </x:c>
    </x:row>
    <x:row r="26" s="20" customFormat="1" ht="34" customHeight="1">
      <x:c r="A26" s="58" t="str">
        <x:v>Major</x:v>
      </x:c>
      <x:c r="B26" s="58" t="str">
        <x:v>Sunset Pink Lemonade 6.7 oz</x:v>
      </x:c>
      <x:c r="C26" s="58" t="str">
        <x:v>Pink Lemonade</x:v>
      </x:c>
      <x:c r="D26" s="58" t="str">
        <x:v>THC Only</x:v>
      </x:c>
      <x:c r="E26" s="58" t="str">
        <x:v>Sativa Hybrid</x:v>
      </x:c>
      <x:c r="F26" s="58" t="str">
        <x:v>Drink</x:v>
      </x:c>
      <x:c r="G26" s="59" t="str">
        <x:v>6.7 oz</x:v>
      </x:c>
      <x:c r="H26" s="59" t="str">
        <x:v>THC Only</x:v>
      </x:c>
      <x:c r="I26" s="58"/>
      <x:c r="J26" s="60" t="n">
        <x:v>10</x:v>
      </x:c>
      <x:c r="K26" s="60" t="n">
        <x:f>J26*$T26</x:f>
        <x:v>100</x:v>
      </x:c>
      <x:c r="L26" s="60" t="n">
        <x:v>0</x:v>
      </x:c>
      <x:c r="M26" s="60" t="n">
        <x:f>L26*$T26</x:f>
        <x:v>0</x:v>
      </x:c>
      <x:c r="N26" s="60" t="n">
        <x:v>0</x:v>
      </x:c>
      <x:c r="O26" s="60" t="n">
        <x:f>N26*$T26</x:f>
        <x:v>0</x:v>
      </x:c>
      <x:c r="P26" s="60" t="n">
        <x:v>0</x:v>
      </x:c>
      <x:c r="Q26" s="60" t="n">
        <x:f>P26*$T26</x:f>
        <x:v>0</x:v>
      </x:c>
      <x:c r="R26" s="60" t="n">
        <x:v>0</x:v>
      </x:c>
      <x:c r="S26" s="60" t="n">
        <x:f>R26*$T26</x:f>
        <x:v>0</x:v>
      </x:c>
      <x:c r="T26" s="61" t="n">
        <x:v>10</x:v>
      </x:c>
      <x:c r="U26" s="58" t="str">
        <x:v>$15.99</x:v>
      </x:c>
      <x:c r="V26" s="52" t="str">
        <x:v>Sweet pink lemonade starts smooth and fruity before finishing with a familiar tart lemon snap.</x:v>
      </x:c>
      <x:c r="W26" s="52" t="str">
        <x:v>https://www.nevisbrands.com/major</x:v>
      </x:c>
    </x:row>
    <x:row r="27" s="20" customFormat="1" ht="34" customHeight="1">
      <x:c r="A27" s="58" t="str">
        <x:v>Major</x:v>
      </x:c>
      <x:c r="B27" s="58" t="str">
        <x:v>Pacific Coast Blue Raspberry 6.7 oz</x:v>
      </x:c>
      <x:c r="C27" s="58" t="str">
        <x:v>Blue Raspberry</x:v>
      </x:c>
      <x:c r="D27" s="58" t="str">
        <x:v>THC Only</x:v>
      </x:c>
      <x:c r="E27" s="58" t="str">
        <x:v>Hybrid</x:v>
      </x:c>
      <x:c r="F27" s="58" t="str">
        <x:v>Drink</x:v>
      </x:c>
      <x:c r="G27" s="59" t="str">
        <x:v>6.7 oz</x:v>
      </x:c>
      <x:c r="H27" s="59" t="str">
        <x:v>THC Only</x:v>
      </x:c>
      <x:c r="I27" s="58"/>
      <x:c r="J27" s="60" t="n">
        <x:v>10</x:v>
      </x:c>
      <x:c r="K27" s="60" t="n">
        <x:f>J27*$T27</x:f>
        <x:v>100</x:v>
      </x:c>
      <x:c r="L27" s="60" t="n">
        <x:v>0</x:v>
      </x:c>
      <x:c r="M27" s="60" t="n">
        <x:f>L27*$T27</x:f>
        <x:v>0</x:v>
      </x:c>
      <x:c r="N27" s="60" t="n">
        <x:v>0</x:v>
      </x:c>
      <x:c r="O27" s="60" t="n">
        <x:f>N27*$T27</x:f>
        <x:v>0</x:v>
      </x:c>
      <x:c r="P27" s="60" t="n">
        <x:v>0</x:v>
      </x:c>
      <x:c r="Q27" s="60" t="n">
        <x:f>P27*$T27</x:f>
        <x:v>0</x:v>
      </x:c>
      <x:c r="R27" s="60" t="n">
        <x:v>0</x:v>
      </x:c>
      <x:c r="S27" s="60" t="n">
        <x:f>R27*$T27</x:f>
        <x:v>0</x:v>
      </x:c>
      <x:c r="T27" s="61" t="n">
        <x:v>10</x:v>
      </x:c>
      <x:c r="U27" s="58" t="str">
        <x:v>$15.99</x:v>
      </x:c>
      <x:c r="V27" s="52" t="str">
        <x:v>Blue raspberry brings a vivid sweet-tart profile with a slightly sour finish that makes the small bottle taste especially punchy.</x:v>
      </x:c>
      <x:c r="W27" s="52" t="str">
        <x:v>https://www.nevisbrands.com/major</x:v>
      </x:c>
    </x:row>
    <x:row r="28" s="20" customFormat="1" ht="34" customHeight="1">
      <x:c r="A28" s="58" t="str">
        <x:v>Swifts</x:v>
      </x:c>
      <x:c r="B28" s="58" t="str">
        <x:v>Wildflower Honey 4 oz</x:v>
      </x:c>
      <x:c r="C28" s="58" t="str">
        <x:v>Wildflower Honey</x:v>
      </x:c>
      <x:c r="D28" s="58" t="str">
        <x:v>THC Only</x:v>
      </x:c>
      <x:c r="E28" s="58" t="str">
        <x:v>Hybrid</x:v>
      </x:c>
      <x:c r="F28" s="58" t="str">
        <x:v>Honey</x:v>
      </x:c>
      <x:c r="G28" s="59" t="str">
        <x:v>4 oz</x:v>
      </x:c>
      <x:c r="H28" s="59" t="str">
        <x:v>THC Only</x:v>
      </x:c>
      <x:c r="I28" s="58"/>
      <x:c r="J28" s="60" t="n">
        <x:v>10</x:v>
      </x:c>
      <x:c r="K28" s="60" t="n">
        <x:f>J28*$T28</x:f>
        <x:v>100</x:v>
      </x:c>
      <x:c r="L28" s="60" t="n">
        <x:v>0</x:v>
      </x:c>
      <x:c r="M28" s="60" t="n">
        <x:f>L28*$T28</x:f>
        <x:v>0</x:v>
      </x:c>
      <x:c r="N28" s="60" t="n">
        <x:v>0</x:v>
      </x:c>
      <x:c r="O28" s="60" t="n">
        <x:f>N28*$T28</x:f>
        <x:v>0</x:v>
      </x:c>
      <x:c r="P28" s="60" t="n">
        <x:v>0</x:v>
      </x:c>
      <x:c r="Q28" s="60" t="n">
        <x:f>P28*$T28</x:f>
        <x:v>0</x:v>
      </x:c>
      <x:c r="R28" s="60" t="n">
        <x:v>0</x:v>
      </x:c>
      <x:c r="S28" s="60" t="n">
        <x:f>R28*$T28</x:f>
        <x:v>0</x:v>
      </x:c>
      <x:c r="T28" s="61" t="n">
        <x:v>10</x:v>
      </x:c>
      <x:c r="U28" s="58" t="str">
        <x:v>$23.99</x:v>
      </x:c>
      <x:c r="V28" s="52" t="str">
        <x:v>Floral and lightly earthy, this pourable honey keeps the sweetness natural with a subtle wildflower character.</x:v>
      </x:c>
      <x:c r="W28" s="52" t="str">
        <x:v>Mock extension based on Swifts' established product format/flavor direction</x:v>
      </x:c>
    </x:row>
    <x:row r="29" s="20" customFormat="1" ht="34" customHeight="1">
      <x:c r="A29" s="58" t="str">
        <x:v>Swifts</x:v>
      </x:c>
      <x:c r="B29" s="58" t="str">
        <x:v>Clover Honey 4 oz</x:v>
      </x:c>
      <x:c r="C29" s="58" t="str">
        <x:v>Clover Honey</x:v>
      </x:c>
      <x:c r="D29" s="58" t="str">
        <x:v>CBD</x:v>
      </x:c>
      <x:c r="E29" s="58" t="str">
        <x:v>Holistic</x:v>
      </x:c>
      <x:c r="F29" s="58" t="str">
        <x:v>Honey</x:v>
      </x:c>
      <x:c r="G29" s="59" t="str">
        <x:v>4 oz</x:v>
      </x:c>
      <x:c r="H29" s="59" t="str">
        <x:v>CBD Only</x:v>
      </x:c>
      <x:c r="I29" s="58"/>
      <x:c r="J29" s="60" t="n">
        <x:v>0</x:v>
      </x:c>
      <x:c r="K29" s="60" t="n">
        <x:f>J29*$T29</x:f>
        <x:v>0</x:v>
      </x:c>
      <x:c r="L29" s="60" t="n">
        <x:v>10</x:v>
      </x:c>
      <x:c r="M29" s="60" t="n">
        <x:f>L29*$T29</x:f>
        <x:v>100</x:v>
      </x:c>
      <x:c r="N29" s="60" t="n">
        <x:v>0</x:v>
      </x:c>
      <x:c r="O29" s="60" t="n">
        <x:f>N29*$T29</x:f>
        <x:v>0</x:v>
      </x:c>
      <x:c r="P29" s="60" t="n">
        <x:v>0</x:v>
      </x:c>
      <x:c r="Q29" s="60" t="n">
        <x:f>P29*$T29</x:f>
        <x:v>0</x:v>
      </x:c>
      <x:c r="R29" s="60" t="n">
        <x:v>0</x:v>
      </x:c>
      <x:c r="S29" s="60" t="n">
        <x:f>R29*$T29</x:f>
        <x:v>0</x:v>
      </x:c>
      <x:c r="T29" s="61" t="n">
        <x:v>10</x:v>
      </x:c>
      <x:c r="U29" s="58" t="str">
        <x:v>$24.99</x:v>
      </x:c>
      <x:c r="V29" s="52" t="str">
        <x:v>Clean clover sweetness and a mild floral finish make this the most straightforward honey in the set.</x:v>
      </x:c>
      <x:c r="W29" s="52" t="str">
        <x:v>Mock extension based on Swifts' established product format/flavor direction</x:v>
      </x:c>
    </x:row>
    <x:row r="30" s="20" customFormat="1" ht="34" customHeight="1">
      <x:c r="A30" s="58" t="str">
        <x:v>Swifts</x:v>
      </x:c>
      <x:c r="B30" s="58" t="str">
        <x:v>Orange Blossom Honey 4 oz</x:v>
      </x:c>
      <x:c r="C30" s="58" t="str">
        <x:v>Orange Blossom Honey</x:v>
      </x:c>
      <x:c r="D30" s="58" t="str">
        <x:v>Blend</x:v>
      </x:c>
      <x:c r="E30" s="58" t="str">
        <x:v>Holistic</x:v>
      </x:c>
      <x:c r="F30" s="58" t="str">
        <x:v>Honey</x:v>
      </x:c>
      <x:c r="G30" s="59" t="str">
        <x:v>4 oz</x:v>
      </x:c>
      <x:c r="H30" s="59" t="str">
        <x:v>THC:CBD</x:v>
      </x:c>
      <x:c r="I30" s="58" t="str">
        <x:v>1:1</x:v>
      </x:c>
      <x:c r="J30" s="60" t="n">
        <x:v>10</x:v>
      </x:c>
      <x:c r="K30" s="60" t="n">
        <x:f>J30*$T30</x:f>
        <x:v>100</x:v>
      </x:c>
      <x:c r="L30" s="60" t="n">
        <x:v>10</x:v>
      </x:c>
      <x:c r="M30" s="60" t="n">
        <x:f>L30*$T30</x:f>
        <x:v>100</x:v>
      </x:c>
      <x:c r="N30" s="60" t="n">
        <x:v>0</x:v>
      </x:c>
      <x:c r="O30" s="60" t="n">
        <x:f>N30*$T30</x:f>
        <x:v>0</x:v>
      </x:c>
      <x:c r="P30" s="60" t="n">
        <x:v>0</x:v>
      </x:c>
      <x:c r="Q30" s="60" t="n">
        <x:f>P30*$T30</x:f>
        <x:v>0</x:v>
      </x:c>
      <x:c r="R30" s="60" t="n">
        <x:v>0</x:v>
      </x:c>
      <x:c r="S30" s="60" t="n">
        <x:f>R30*$T30</x:f>
        <x:v>0</x:v>
      </x:c>
      <x:c r="T30" s="61" t="n">
        <x:v>10</x:v>
      </x:c>
      <x:c r="U30" s="58" t="str">
        <x:v>$25.99</x:v>
      </x:c>
      <x:c r="V30" s="52" t="str">
        <x:v>Fragrant orange blossom adds a soft citrus-floral note that brightens the honey without overpowering its natural sweetness.</x:v>
      </x:c>
      <x:c r="W30" s="52" t="str">
        <x:v>Mock extension based on Swifts' established product format/flavor direction</x:v>
      </x:c>
    </x:row>
    <x:row r="31" s="20" customFormat="1" ht="34" customHeight="1">
      <x:c r="A31" s="58" t="str">
        <x:v>Swifts</x:v>
      </x:c>
      <x:c r="B31" s="58" t="str">
        <x:v>Lavender Honey 4 oz</x:v>
      </x:c>
      <x:c r="C31" s="58" t="str">
        <x:v>Lavender Honey</x:v>
      </x:c>
      <x:c r="D31" s="58" t="str">
        <x:v>CBD</x:v>
      </x:c>
      <x:c r="E31" s="58" t="str">
        <x:v>Holistic</x:v>
      </x:c>
      <x:c r="F31" s="58" t="str">
        <x:v>Honey</x:v>
      </x:c>
      <x:c r="G31" s="59" t="str">
        <x:v>4 oz</x:v>
      </x:c>
      <x:c r="H31" s="59" t="str">
        <x:v>CBD Only</x:v>
      </x:c>
      <x:c r="I31" s="58"/>
      <x:c r="J31" s="60" t="n">
        <x:v>0</x:v>
      </x:c>
      <x:c r="K31" s="60" t="n">
        <x:f>J31*$T31</x:f>
        <x:v>0</x:v>
      </x:c>
      <x:c r="L31" s="60" t="n">
        <x:v>10</x:v>
      </x:c>
      <x:c r="M31" s="60" t="n">
        <x:f>L31*$T31</x:f>
        <x:v>100</x:v>
      </x:c>
      <x:c r="N31" s="60" t="n">
        <x:v>0</x:v>
      </x:c>
      <x:c r="O31" s="60" t="n">
        <x:f>N31*$T31</x:f>
        <x:v>0</x:v>
      </x:c>
      <x:c r="P31" s="60" t="n">
        <x:v>0</x:v>
      </x:c>
      <x:c r="Q31" s="60" t="n">
        <x:f>P31*$T31</x:f>
        <x:v>0</x:v>
      </x:c>
      <x:c r="R31" s="60" t="n">
        <x:v>0</x:v>
      </x:c>
      <x:c r="S31" s="60" t="n">
        <x:f>R31*$T31</x:f>
        <x:v>0</x:v>
      </x:c>
      <x:c r="T31" s="61" t="n">
        <x:v>10</x:v>
      </x:c>
      <x:c r="U31" s="58" t="str">
        <x:v>$25.99</x:v>
      </x:c>
      <x:c r="V31" s="52" t="str">
        <x:v>Aromatic lavender sits gently over smooth honey, creating a floral profile that feels closer to an herbal tea sweetener.</x:v>
      </x:c>
      <x:c r="W31" s="52" t="str">
        <x:v>Mock extension based on Swifts' established product format/flavor direction</x:v>
      </x:c>
    </x:row>
    <x:row r="32" s="20" customFormat="1" ht="34" customHeight="1">
      <x:c r="A32" s="58" t="str">
        <x:v>Swifts</x:v>
      </x:c>
      <x:c r="B32" s="58" t="str">
        <x:v>Spiced Honey 4 oz</x:v>
      </x:c>
      <x:c r="C32" s="58" t="str">
        <x:v>Spiced Honey</x:v>
      </x:c>
      <x:c r="D32" s="58" t="str">
        <x:v>THC Only</x:v>
      </x:c>
      <x:c r="E32" s="58" t="str">
        <x:v>Hybrid</x:v>
      </x:c>
      <x:c r="F32" s="58" t="str">
        <x:v>Honey</x:v>
      </x:c>
      <x:c r="G32" s="59" t="str">
        <x:v>4 oz</x:v>
      </x:c>
      <x:c r="H32" s="59" t="str">
        <x:v>THC Only</x:v>
      </x:c>
      <x:c r="I32" s="58"/>
      <x:c r="J32" s="60" t="n">
        <x:v>10</x:v>
      </x:c>
      <x:c r="K32" s="60" t="n">
        <x:f>J32*$T32</x:f>
        <x:v>100</x:v>
      </x:c>
      <x:c r="L32" s="60" t="n">
        <x:v>0</x:v>
      </x:c>
      <x:c r="M32" s="60" t="n">
        <x:f>L32*$T32</x:f>
        <x:v>0</x:v>
      </x:c>
      <x:c r="N32" s="60" t="n">
        <x:v>0</x:v>
      </x:c>
      <x:c r="O32" s="60" t="n">
        <x:f>N32*$T32</x:f>
        <x:v>0</x:v>
      </x:c>
      <x:c r="P32" s="60" t="n">
        <x:v>0</x:v>
      </x:c>
      <x:c r="Q32" s="60" t="n">
        <x:f>P32*$T32</x:f>
        <x:v>0</x:v>
      </x:c>
      <x:c r="R32" s="60" t="n">
        <x:v>0</x:v>
      </x:c>
      <x:c r="S32" s="60" t="n">
        <x:f>R32*$T32</x:f>
        <x:v>0</x:v>
      </x:c>
      <x:c r="T32" s="61" t="n">
        <x:v>10</x:v>
      </x:c>
      <x:c r="U32" s="58" t="str">
        <x:v>$24.99</x:v>
      </x:c>
      <x:c r="V32" s="52" t="str">
        <x:v>Warm baking spice adds depth to the honey's sweetness, giving it a richer finish suited to tea, toast, or mixing.</x:v>
      </x:c>
      <x:c r="W32" s="52" t="str">
        <x:v>Mock extension based on Swifts' established product format/flavor direction</x:v>
      </x:c>
    </x:row>
    <x:row r="33" s="20" customFormat="1" ht="34" customHeight="1">
      <x:c r="A33" s="58" t="str">
        <x:v>Cormorant</x:v>
      </x:c>
      <x:c r="B33" s="58" t="str">
        <x:v>Blueberry Sorbet 4 oz</x:v>
      </x:c>
      <x:c r="C33" s="58" t="str">
        <x:v>Blueberry</x:v>
      </x:c>
      <x:c r="D33" s="58" t="str">
        <x:v>THC Only</x:v>
      </x:c>
      <x:c r="E33" s="58" t="str">
        <x:v>Indica Hybrid</x:v>
      </x:c>
      <x:c r="F33" s="58" t="str">
        <x:v>Sorbet</x:v>
      </x:c>
      <x:c r="G33" s="59" t="str">
        <x:v>4 oz</x:v>
      </x:c>
      <x:c r="H33" s="59" t="str">
        <x:v>THC Only</x:v>
      </x:c>
      <x:c r="I33" s="58"/>
      <x:c r="J33" s="60" t="n">
        <x:v>10</x:v>
      </x:c>
      <x:c r="K33" s="60" t="n">
        <x:f>J33*$T33</x:f>
        <x:v>100</x:v>
      </x:c>
      <x:c r="L33" s="60" t="n">
        <x:v>0</x:v>
      </x:c>
      <x:c r="M33" s="60" t="n">
        <x:f>L33*$T33</x:f>
        <x:v>0</x:v>
      </x:c>
      <x:c r="N33" s="60" t="n">
        <x:v>0</x:v>
      </x:c>
      <x:c r="O33" s="60" t="n">
        <x:f>N33*$T33</x:f>
        <x:v>0</x:v>
      </x:c>
      <x:c r="P33" s="60" t="n">
        <x:v>0</x:v>
      </x:c>
      <x:c r="Q33" s="60" t="n">
        <x:f>P33*$T33</x:f>
        <x:v>0</x:v>
      </x:c>
      <x:c r="R33" s="60" t="n">
        <x:v>0</x:v>
      </x:c>
      <x:c r="S33" s="60" t="n">
        <x:f>R33*$T33</x:f>
        <x:v>0</x:v>
      </x:c>
      <x:c r="T33" s="61" t="n">
        <x:v>10</x:v>
      </x:c>
      <x:c r="U33" s="58" t="str">
        <x:v>$8.99</x:v>
      </x:c>
      <x:c r="V33" s="52" t="str">
        <x:v>Bright blueberry flavor runs through a smooth frozen base, landing somewhere between berry ice and a soft scoop of sorbet.</x:v>
      </x:c>
      <x:c r="W33" s="52" t="str">
        <x:v>https://www.greenworkscannabis.com/projects-7</x:v>
      </x:c>
    </x:row>
    <x:row r="34" s="20" customFormat="1" ht="34" customHeight="1">
      <x:c r="A34" s="58" t="str">
        <x:v>Cormorant</x:v>
      </x:c>
      <x:c r="B34" s="58" t="str">
        <x:v>Lime Ginger Sorbet 4 oz</x:v>
      </x:c>
      <x:c r="C34" s="58" t="str">
        <x:v>Lime Ginger</x:v>
      </x:c>
      <x:c r="D34" s="58" t="str">
        <x:v>THC Only</x:v>
      </x:c>
      <x:c r="E34" s="58" t="str">
        <x:v>Sativa</x:v>
      </x:c>
      <x:c r="F34" s="58" t="str">
        <x:v>Sorbet</x:v>
      </x:c>
      <x:c r="G34" s="59" t="str">
        <x:v>4 oz</x:v>
      </x:c>
      <x:c r="H34" s="59" t="str">
        <x:v>THC Only</x:v>
      </x:c>
      <x:c r="I34" s="58"/>
      <x:c r="J34" s="60" t="n">
        <x:v>10</x:v>
      </x:c>
      <x:c r="K34" s="60" t="n">
        <x:f>J34*$T34</x:f>
        <x:v>100</x:v>
      </x:c>
      <x:c r="L34" s="60" t="n">
        <x:v>0</x:v>
      </x:c>
      <x:c r="M34" s="60" t="n">
        <x:f>L34*$T34</x:f>
        <x:v>0</x:v>
      </x:c>
      <x:c r="N34" s="60" t="n">
        <x:v>0</x:v>
      </x:c>
      <x:c r="O34" s="60" t="n">
        <x:f>N34*$T34</x:f>
        <x:v>0</x:v>
      </x:c>
      <x:c r="P34" s="60" t="n">
        <x:v>0</x:v>
      </x:c>
      <x:c r="Q34" s="60" t="n">
        <x:f>P34*$T34</x:f>
        <x:v>0</x:v>
      </x:c>
      <x:c r="R34" s="60" t="n">
        <x:v>0</x:v>
      </x:c>
      <x:c r="S34" s="60" t="n">
        <x:f>R34*$T34</x:f>
        <x:v>0</x:v>
      </x:c>
      <x:c r="T34" s="61" t="n">
        <x:v>10</x:v>
      </x:c>
      <x:c r="U34" s="58" t="str">
        <x:v>$8.99</x:v>
      </x:c>
      <x:c r="V34" s="52" t="str">
        <x:v>Sharp lime hits first before ginger adds a warming bite, making this one especially crisp straight from the freezer.</x:v>
      </x:c>
      <x:c r="W34" s="52" t="str">
        <x:v>https://www.greenworkscannabis.com/projects-7</x:v>
      </x:c>
    </x:row>
    <x:row r="35" s="20" customFormat="1" ht="34" customHeight="1">
      <x:c r="A35" s="58" t="str">
        <x:v>Cormorant</x:v>
      </x:c>
      <x:c r="B35" s="58" t="str">
        <x:v>Lemon Sorbet 4 oz</x:v>
      </x:c>
      <x:c r="C35" s="58" t="str">
        <x:v>Lemon</x:v>
      </x:c>
      <x:c r="D35" s="58" t="str">
        <x:v>THC Only</x:v>
      </x:c>
      <x:c r="E35" s="58" t="str">
        <x:v>Sativa Hybrid</x:v>
      </x:c>
      <x:c r="F35" s="58" t="str">
        <x:v>Sorbet</x:v>
      </x:c>
      <x:c r="G35" s="59" t="str">
        <x:v>4 oz</x:v>
      </x:c>
      <x:c r="H35" s="59" t="str">
        <x:v>THC Only</x:v>
      </x:c>
      <x:c r="I35" s="58"/>
      <x:c r="J35" s="60" t="n">
        <x:v>10</x:v>
      </x:c>
      <x:c r="K35" s="60" t="n">
        <x:f>J35*$T35</x:f>
        <x:v>100</x:v>
      </x:c>
      <x:c r="L35" s="60" t="n">
        <x:v>0</x:v>
      </x:c>
      <x:c r="M35" s="60" t="n">
        <x:f>L35*$T35</x:f>
        <x:v>0</x:v>
      </x:c>
      <x:c r="N35" s="60" t="n">
        <x:v>0</x:v>
      </x:c>
      <x:c r="O35" s="60" t="n">
        <x:f>N35*$T35</x:f>
        <x:v>0</x:v>
      </x:c>
      <x:c r="P35" s="60" t="n">
        <x:v>0</x:v>
      </x:c>
      <x:c r="Q35" s="60" t="n">
        <x:f>P35*$T35</x:f>
        <x:v>0</x:v>
      </x:c>
      <x:c r="R35" s="60" t="n">
        <x:v>0</x:v>
      </x:c>
      <x:c r="S35" s="60" t="n">
        <x:f>R35*$T35</x:f>
        <x:v>0</x:v>
      </x:c>
      <x:c r="T35" s="61" t="n">
        <x:v>10</x:v>
      </x:c>
      <x:c r="U35" s="58" t="str">
        <x:v>$8.49</x:v>
      </x:c>
      <x:c r="V35" s="52" t="str">
        <x:v>Clean lemon acidity gives the frozen base a classic tart-sorbet profile with a refreshing finish and little heaviness.</x:v>
      </x:c>
      <x:c r="W35" s="52" t="str">
        <x:v>https://www.greenworkscannabis.com/projects-7</x:v>
      </x:c>
    </x:row>
    <x:row r="36" s="20" customFormat="1" ht="34" customHeight="1">
      <x:c r="A36" s="58" t="str">
        <x:v>Cormorant</x:v>
      </x:c>
      <x:c r="B36" s="58" t="str">
        <x:v>Mango Sorbet 4 oz</x:v>
      </x:c>
      <x:c r="C36" s="58" t="str">
        <x:v>Mango</x:v>
      </x:c>
      <x:c r="D36" s="58" t="str">
        <x:v>THC Only</x:v>
      </x:c>
      <x:c r="E36" s="58" t="str">
        <x:v>Sativa Hybrid</x:v>
      </x:c>
      <x:c r="F36" s="58" t="str">
        <x:v>Sorbet</x:v>
      </x:c>
      <x:c r="G36" s="59" t="str">
        <x:v>4 oz</x:v>
      </x:c>
      <x:c r="H36" s="59" t="str">
        <x:v>THC Only</x:v>
      </x:c>
      <x:c r="I36" s="58"/>
      <x:c r="J36" s="60" t="n">
        <x:v>10</x:v>
      </x:c>
      <x:c r="K36" s="60" t="n">
        <x:f>J36*$T36</x:f>
        <x:v>100</x:v>
      </x:c>
      <x:c r="L36" s="60" t="n">
        <x:v>0</x:v>
      </x:c>
      <x:c r="M36" s="60" t="n">
        <x:f>L36*$T36</x:f>
        <x:v>0</x:v>
      </x:c>
      <x:c r="N36" s="60" t="n">
        <x:v>0</x:v>
      </x:c>
      <x:c r="O36" s="60" t="n">
        <x:f>N36*$T36</x:f>
        <x:v>0</x:v>
      </x:c>
      <x:c r="P36" s="60" t="n">
        <x:v>0</x:v>
      </x:c>
      <x:c r="Q36" s="60" t="n">
        <x:f>P36*$T36</x:f>
        <x:v>0</x:v>
      </x:c>
      <x:c r="R36" s="60" t="n">
        <x:v>0</x:v>
      </x:c>
      <x:c r="S36" s="60" t="n">
        <x:f>R36*$T36</x:f>
        <x:v>0</x:v>
      </x:c>
      <x:c r="T36" s="61" t="n">
        <x:v>10</x:v>
      </x:c>
      <x:c r="U36" s="58" t="str">
        <x:v>$8.99</x:v>
      </x:c>
      <x:c r="V36" s="52" t="str">
        <x:v>Ripe mango makes this the lushest of the frozen flavors, with tropical sweetness and a smooth, refreshing finish.</x:v>
      </x:c>
      <x:c r="W36" s="52" t="str">
        <x:v>https://www.reddit.com/r/420/comments/1ixwmz9</x:v>
      </x:c>
    </x:row>
    <x:row r="37" s="20" customFormat="1" ht="34" customHeight="1">
      <x:c r="A37" s="58" t="str">
        <x:v>Cormorant</x:v>
      </x:c>
      <x:c r="B37" s="58" t="str">
        <x:v>Strawberry Lemonade Sorbet 4 oz</x:v>
      </x:c>
      <x:c r="C37" s="58" t="str">
        <x:v>Strawberry Lemonade</x:v>
      </x:c>
      <x:c r="D37" s="58" t="str">
        <x:v>Blend</x:v>
      </x:c>
      <x:c r="E37" s="58" t="str">
        <x:v>Holistic</x:v>
      </x:c>
      <x:c r="F37" s="58" t="str">
        <x:v>Sorbet</x:v>
      </x:c>
      <x:c r="G37" s="59" t="str">
        <x:v>4 oz</x:v>
      </x:c>
      <x:c r="H37" s="59" t="str">
        <x:v>THC:CBD</x:v>
      </x:c>
      <x:c r="I37" s="58" t="str">
        <x:v>1:1</x:v>
      </x:c>
      <x:c r="J37" s="60" t="n">
        <x:v>10</x:v>
      </x:c>
      <x:c r="K37" s="60" t="n">
        <x:f>J37*$T37</x:f>
        <x:v>100</x:v>
      </x:c>
      <x:c r="L37" s="60" t="n">
        <x:v>10</x:v>
      </x:c>
      <x:c r="M37" s="60" t="n">
        <x:f>L37*$T37</x:f>
        <x:v>100</x:v>
      </x:c>
      <x:c r="N37" s="60" t="n">
        <x:v>0</x:v>
      </x:c>
      <x:c r="O37" s="60" t="n">
        <x:f>N37*$T37</x:f>
        <x:v>0</x:v>
      </x:c>
      <x:c r="P37" s="60" t="n">
        <x:v>0</x:v>
      </x:c>
      <x:c r="Q37" s="60" t="n">
        <x:f>P37*$T37</x:f>
        <x:v>0</x:v>
      </x:c>
      <x:c r="R37" s="60" t="n">
        <x:v>0</x:v>
      </x:c>
      <x:c r="S37" s="60" t="n">
        <x:f>R37*$T37</x:f>
        <x:v>0</x:v>
      </x:c>
      <x:c r="T37" s="61" t="n">
        <x:v>10</x:v>
      </x:c>
      <x:c r="U37" s="58" t="str">
        <x:v>$12.99</x:v>
      </x:c>
      <x:c r="V37" s="52" t="str">
        <x:v>Sweet strawberry softens tart lemonade in a frozen blend that stays bright, fruity, and easy to spoon.</x:v>
      </x:c>
      <x:c r="W37" s="52" t="str">
        <x:v>https://www.greenworkscannabis.com/projects-7</x:v>
      </x:c>
    </x:row>
    <x:row r="38" s="20" customFormat="1" ht="34" customHeight="1">
      <x:c r="A38" s="58" t="str">
        <x:v>Cormorant</x:v>
      </x:c>
      <x:c r="B38" s="58" t="str">
        <x:v>Blackberry Sorbet 4 oz</x:v>
      </x:c>
      <x:c r="C38" s="58" t="str">
        <x:v>Blackberry</x:v>
      </x:c>
      <x:c r="D38" s="58" t="str">
        <x:v>CBD</x:v>
      </x:c>
      <x:c r="E38" s="58" t="str">
        <x:v>Holistic</x:v>
      </x:c>
      <x:c r="F38" s="58" t="str">
        <x:v>Sorbet</x:v>
      </x:c>
      <x:c r="G38" s="59" t="str">
        <x:v>4 oz</x:v>
      </x:c>
      <x:c r="H38" s="59" t="str">
        <x:v>CBD Only</x:v>
      </x:c>
      <x:c r="I38" s="58"/>
      <x:c r="J38" s="60" t="n">
        <x:v>0</x:v>
      </x:c>
      <x:c r="K38" s="60" t="n">
        <x:f>J38*$T38</x:f>
        <x:v>0</x:v>
      </x:c>
      <x:c r="L38" s="60" t="n">
        <x:v>10</x:v>
      </x:c>
      <x:c r="M38" s="60" t="n">
        <x:f>L38*$T38</x:f>
        <x:v>100</x:v>
      </x:c>
      <x:c r="N38" s="60" t="n">
        <x:v>0</x:v>
      </x:c>
      <x:c r="O38" s="60" t="n">
        <x:f>N38*$T38</x:f>
        <x:v>0</x:v>
      </x:c>
      <x:c r="P38" s="60" t="n">
        <x:v>0</x:v>
      </x:c>
      <x:c r="Q38" s="60" t="n">
        <x:f>P38*$T38</x:f>
        <x:v>0</x:v>
      </x:c>
      <x:c r="R38" s="60" t="n">
        <x:v>0</x:v>
      </x:c>
      <x:c r="S38" s="60" t="n">
        <x:f>R38*$T38</x:f>
        <x:v>0</x:v>
      </x:c>
      <x:c r="T38" s="61" t="n">
        <x:v>10</x:v>
      </x:c>
      <x:c r="U38" s="58" t="str">
        <x:v>$10.99</x:v>
      </x:c>
      <x:c r="V38" s="52" t="str">
        <x:v>Dark blackberry gives the sorbet a deeper berry flavor with a pleasant tartness that keeps the frozen sweetness balanced.</x:v>
      </x:c>
      <x:c r="W38" s="52" t="str">
        <x:v>https://www.greenworkscannabis.com/projects-7</x:v>
      </x:c>
    </x:row>
    <x:row r="39" s="20" customFormat="1" ht="34" customHeight="1">
      <x:c r="A39" s="58" t="str">
        <x:v>Mary Jones</x:v>
      </x:c>
      <x:c r="B39" s="58" t="str">
        <x:v>Root Beer 16 oz</x:v>
      </x:c>
      <x:c r="C39" s="58" t="str">
        <x:v>Root Beer</x:v>
      </x:c>
      <x:c r="D39" s="58" t="str">
        <x:v>THC Only</x:v>
      </x:c>
      <x:c r="E39" s="58" t="str">
        <x:v>Indica Hybrid</x:v>
      </x:c>
      <x:c r="F39" s="58" t="str">
        <x:v>Drink</x:v>
      </x:c>
      <x:c r="G39" s="59" t="str">
        <x:v>16 oz</x:v>
      </x:c>
      <x:c r="H39" s="59" t="str">
        <x:v>THC Only</x:v>
      </x:c>
      <x:c r="I39" s="58"/>
      <x:c r="J39" s="60" t="n">
        <x:v>10</x:v>
      </x:c>
      <x:c r="K39" s="60" t="n">
        <x:f>J39*$T39</x:f>
        <x:v>100</x:v>
      </x:c>
      <x:c r="L39" s="60" t="n">
        <x:v>0</x:v>
      </x:c>
      <x:c r="M39" s="60" t="n">
        <x:f>L39*$T39</x:f>
        <x:v>0</x:v>
      </x:c>
      <x:c r="N39" s="60" t="n">
        <x:v>0</x:v>
      </x:c>
      <x:c r="O39" s="60" t="n">
        <x:f>N39*$T39</x:f>
        <x:v>0</x:v>
      </x:c>
      <x:c r="P39" s="60" t="n">
        <x:v>0</x:v>
      </x:c>
      <x:c r="Q39" s="60" t="n">
        <x:f>P39*$T39</x:f>
        <x:v>0</x:v>
      </x:c>
      <x:c r="R39" s="60" t="n">
        <x:v>0</x:v>
      </x:c>
      <x:c r="S39" s="60" t="n">
        <x:f>R39*$T39</x:f>
        <x:v>0</x:v>
      </x:c>
      <x:c r="T39" s="61" t="n">
        <x:v>10</x:v>
      </x:c>
      <x:c r="U39" s="58" t="str">
        <x:v>$19.99</x:v>
      </x:c>
      <x:c r="V39" s="52" t="str">
        <x:v>Vanilla, wintergreen, and warm spice give this infused soda the familiar depth of an old-school root beer.</x:v>
      </x:c>
      <x:c r="W39" s="52" t="str">
        <x:v>https://maryjonescannabis.com/</x:v>
      </x:c>
    </x:row>
    <x:row r="40" s="20" customFormat="1" ht="34" customHeight="1">
      <x:c r="A40" s="58" t="str">
        <x:v>Mary Jones</x:v>
      </x:c>
      <x:c r="B40" s="58" t="str">
        <x:v>Berry Lemonade 16 oz</x:v>
      </x:c>
      <x:c r="C40" s="58" t="str">
        <x:v>Berry Lemonade</x:v>
      </x:c>
      <x:c r="D40" s="58" t="str">
        <x:v>THC Only</x:v>
      </x:c>
      <x:c r="E40" s="58" t="str">
        <x:v>Sativa Hybrid</x:v>
      </x:c>
      <x:c r="F40" s="58" t="str">
        <x:v>Drink</x:v>
      </x:c>
      <x:c r="G40" s="59" t="str">
        <x:v>16 oz</x:v>
      </x:c>
      <x:c r="H40" s="59" t="str">
        <x:v>THC Only</x:v>
      </x:c>
      <x:c r="I40" s="58"/>
      <x:c r="J40" s="60" t="n">
        <x:v>10</x:v>
      </x:c>
      <x:c r="K40" s="60" t="n">
        <x:f>J40*$T40</x:f>
        <x:v>100</x:v>
      </x:c>
      <x:c r="L40" s="60" t="n">
        <x:v>0</x:v>
      </x:c>
      <x:c r="M40" s="60" t="n">
        <x:f>L40*$T40</x:f>
        <x:v>0</x:v>
      </x:c>
      <x:c r="N40" s="60" t="n">
        <x:v>0</x:v>
      </x:c>
      <x:c r="O40" s="60" t="n">
        <x:f>N40*$T40</x:f>
        <x:v>0</x:v>
      </x:c>
      <x:c r="P40" s="60" t="n">
        <x:v>0</x:v>
      </x:c>
      <x:c r="Q40" s="60" t="n">
        <x:f>P40*$T40</x:f>
        <x:v>0</x:v>
      </x:c>
      <x:c r="R40" s="60" t="n">
        <x:v>0</x:v>
      </x:c>
      <x:c r="S40" s="60" t="n">
        <x:f>R40*$T40</x:f>
        <x:v>0</x:v>
      </x:c>
      <x:c r="T40" s="61" t="n">
        <x:v>10</x:v>
      </x:c>
      <x:c r="U40" s="58" t="str">
        <x:v>$19.99</x:v>
      </x:c>
      <x:c r="V40" s="52" t="str">
        <x:v>Mixed berry sweetness rides over bright lemon acidity for a soda that lands fruity first and tart on the finish.</x:v>
      </x:c>
      <x:c r="W40" s="52" t="str">
        <x:v>https://maryjonescannabis.com/</x:v>
      </x:c>
    </x:row>
    <x:row r="41" s="20" customFormat="1" ht="34" customHeight="1">
      <x:c r="A41" s="58" t="str">
        <x:v>Mary Jones</x:v>
      </x:c>
      <x:c r="B41" s="58" t="str">
        <x:v>Green Apple 16 oz</x:v>
      </x:c>
      <x:c r="C41" s="58" t="str">
        <x:v>Green Apple</x:v>
      </x:c>
      <x:c r="D41" s="58" t="str">
        <x:v>THC Only</x:v>
      </x:c>
      <x:c r="E41" s="58" t="str">
        <x:v>Hybrid</x:v>
      </x:c>
      <x:c r="F41" s="58" t="str">
        <x:v>Drink</x:v>
      </x:c>
      <x:c r="G41" s="59" t="str">
        <x:v>16 oz</x:v>
      </x:c>
      <x:c r="H41" s="59" t="str">
        <x:v>THC Only</x:v>
      </x:c>
      <x:c r="I41" s="58"/>
      <x:c r="J41" s="60" t="n">
        <x:v>10</x:v>
      </x:c>
      <x:c r="K41" s="60" t="n">
        <x:f>J41*$T41</x:f>
        <x:v>100</x:v>
      </x:c>
      <x:c r="L41" s="60" t="n">
        <x:v>0</x:v>
      </x:c>
      <x:c r="M41" s="60" t="n">
        <x:f>L41*$T41</x:f>
        <x:v>0</x:v>
      </x:c>
      <x:c r="N41" s="60" t="n">
        <x:v>0</x:v>
      </x:c>
      <x:c r="O41" s="60" t="n">
        <x:f>N41*$T41</x:f>
        <x:v>0</x:v>
      </x:c>
      <x:c r="P41" s="60" t="n">
        <x:v>0</x:v>
      </x:c>
      <x:c r="Q41" s="60" t="n">
        <x:f>P41*$T41</x:f>
        <x:v>0</x:v>
      </x:c>
      <x:c r="R41" s="60" t="n">
        <x:v>0</x:v>
      </x:c>
      <x:c r="S41" s="60" t="n">
        <x:f>R41*$T41</x:f>
        <x:v>0</x:v>
      </x:c>
      <x:c r="T41" s="61" t="n">
        <x:v>10</x:v>
      </x:c>
      <x:c r="U41" s="58" t="str">
        <x:v>$19.99</x:v>
      </x:c>
      <x:c r="V41" s="52" t="str">
        <x:v>Crisp green apple leans deliberately candy-like, with a sour edge that keeps the full-size soda lively.</x:v>
      </x:c>
      <x:c r="W41" s="52" t="str">
        <x:v>https://maryjonescannabis.com/</x:v>
      </x:c>
    </x:row>
    <x:row r="42" s="20" customFormat="1" ht="34" customHeight="1">
      <x:c r="A42" s="58" t="str">
        <x:v>Mary Jones</x:v>
      </x:c>
      <x:c r="B42" s="58" t="str">
        <x:v>Orange &amp; Cream 16 oz</x:v>
      </x:c>
      <x:c r="C42" s="58" t="str">
        <x:v>Orange &amp; Cream</x:v>
      </x:c>
      <x:c r="D42" s="58" t="str">
        <x:v>THC Only</x:v>
      </x:c>
      <x:c r="E42" s="58" t="str">
        <x:v>Sativa</x:v>
      </x:c>
      <x:c r="F42" s="58" t="str">
        <x:v>Drink</x:v>
      </x:c>
      <x:c r="G42" s="59" t="str">
        <x:v>16 oz</x:v>
      </x:c>
      <x:c r="H42" s="59" t="str">
        <x:v>THC Only</x:v>
      </x:c>
      <x:c r="I42" s="58"/>
      <x:c r="J42" s="60" t="n">
        <x:v>10</x:v>
      </x:c>
      <x:c r="K42" s="60" t="n">
        <x:f>J42*$T42</x:f>
        <x:v>100</x:v>
      </x:c>
      <x:c r="L42" s="60" t="n">
        <x:v>0</x:v>
      </x:c>
      <x:c r="M42" s="60" t="n">
        <x:f>L42*$T42</x:f>
        <x:v>0</x:v>
      </x:c>
      <x:c r="N42" s="60" t="n">
        <x:v>0</x:v>
      </x:c>
      <x:c r="O42" s="60" t="n">
        <x:f>N42*$T42</x:f>
        <x:v>0</x:v>
      </x:c>
      <x:c r="P42" s="60" t="n">
        <x:v>0</x:v>
      </x:c>
      <x:c r="Q42" s="60" t="n">
        <x:f>P42*$T42</x:f>
        <x:v>0</x:v>
      </x:c>
      <x:c r="R42" s="60" t="n">
        <x:v>0</x:v>
      </x:c>
      <x:c r="S42" s="60" t="n">
        <x:f>R42*$T42</x:f>
        <x:v>0</x:v>
      </x:c>
      <x:c r="T42" s="61" t="n">
        <x:v>10</x:v>
      </x:c>
      <x:c r="U42" s="58" t="str">
        <x:v>$19.99</x:v>
      </x:c>
      <x:c r="V42" s="52" t="str">
        <x:v>Sweet orange soda folds into smooth vanilla cream for a nostalgic creamsicle-style profile.</x:v>
      </x:c>
      <x:c r="W42" s="52" t="str">
        <x:v>https://maryjonescannabis.com/</x:v>
      </x:c>
    </x:row>
    <x:row r="43" s="20" customFormat="1" ht="34" customHeight="1">
      <x:c r="A43" s="58" t="str">
        <x:v>Mary Jones</x:v>
      </x:c>
      <x:c r="B43" s="58" t="str">
        <x:v>MF Grape 16 oz</x:v>
      </x:c>
      <x:c r="C43" s="58" t="str">
        <x:v>Grape</x:v>
      </x:c>
      <x:c r="D43" s="58" t="str">
        <x:v>THC Only</x:v>
      </x:c>
      <x:c r="E43" s="58" t="str">
        <x:v>Indica Hybrid</x:v>
      </x:c>
      <x:c r="F43" s="58" t="str">
        <x:v>Drink</x:v>
      </x:c>
      <x:c r="G43" s="59" t="str">
        <x:v>16 oz</x:v>
      </x:c>
      <x:c r="H43" s="59" t="str">
        <x:v>THC Only</x:v>
      </x:c>
      <x:c r="I43" s="58"/>
      <x:c r="J43" s="60" t="n">
        <x:v>10</x:v>
      </x:c>
      <x:c r="K43" s="60" t="n">
        <x:f>J43*$T43</x:f>
        <x:v>100</x:v>
      </x:c>
      <x:c r="L43" s="60" t="n">
        <x:v>0</x:v>
      </x:c>
      <x:c r="M43" s="60" t="n">
        <x:f>L43*$T43</x:f>
        <x:v>0</x:v>
      </x:c>
      <x:c r="N43" s="60" t="n">
        <x:v>0</x:v>
      </x:c>
      <x:c r="O43" s="60" t="n">
        <x:f>N43*$T43</x:f>
        <x:v>0</x:v>
      </x:c>
      <x:c r="P43" s="60" t="n">
        <x:v>0</x:v>
      </x:c>
      <x:c r="Q43" s="60" t="n">
        <x:f>P43*$T43</x:f>
        <x:v>0</x:v>
      </x:c>
      <x:c r="R43" s="60" t="n">
        <x:v>0</x:v>
      </x:c>
      <x:c r="S43" s="60" t="n">
        <x:f>R43*$T43</x:f>
        <x:v>0</x:v>
      </x:c>
      <x:c r="T43" s="61" t="n">
        <x:v>10</x:v>
      </x:c>
      <x:c r="U43" s="58" t="str">
        <x:v>$19.99</x:v>
      </x:c>
      <x:c r="V43" s="52" t="str">
        <x:v>Big purple-grape flavor and a soft candy finish make this an unapologetically nostalgic soda-shop pour.</x:v>
      </x:c>
      <x:c r="W43" s="52" t="str">
        <x:v>https://maryjonescannabis.com/</x:v>
      </x:c>
    </x:row>
    <x:row r="44" s="20" customFormat="1" ht="34" customHeight="1">
      <x:c r="A44" s="58" t="str">
        <x:v>Mary Jones</x:v>
      </x:c>
      <x:c r="B44" s="58" t="str">
        <x:v>Cola 16 oz</x:v>
      </x:c>
      <x:c r="C44" s="58" t="str">
        <x:v>Cola</x:v>
      </x:c>
      <x:c r="D44" s="58" t="str">
        <x:v>THC Only</x:v>
      </x:c>
      <x:c r="E44" s="58" t="str">
        <x:v>Hybrid</x:v>
      </x:c>
      <x:c r="F44" s="58" t="str">
        <x:v>Drink</x:v>
      </x:c>
      <x:c r="G44" s="59" t="str">
        <x:v>16 oz</x:v>
      </x:c>
      <x:c r="H44" s="59" t="str">
        <x:v>THC Only</x:v>
      </x:c>
      <x:c r="I44" s="58"/>
      <x:c r="J44" s="60" t="n">
        <x:v>10</x:v>
      </x:c>
      <x:c r="K44" s="60" t="n">
        <x:f>J44*$T44</x:f>
        <x:v>100</x:v>
      </x:c>
      <x:c r="L44" s="60" t="n">
        <x:v>0</x:v>
      </x:c>
      <x:c r="M44" s="60" t="n">
        <x:f>L44*$T44</x:f>
        <x:v>0</x:v>
      </x:c>
      <x:c r="N44" s="60" t="n">
        <x:v>0</x:v>
      </x:c>
      <x:c r="O44" s="60" t="n">
        <x:f>N44*$T44</x:f>
        <x:v>0</x:v>
      </x:c>
      <x:c r="P44" s="60" t="n">
        <x:v>0</x:v>
      </x:c>
      <x:c r="Q44" s="60" t="n">
        <x:f>P44*$T44</x:f>
        <x:v>0</x:v>
      </x:c>
      <x:c r="R44" s="60" t="n">
        <x:v>0</x:v>
      </x:c>
      <x:c r="S44" s="60" t="n">
        <x:f>R44*$T44</x:f>
        <x:v>0</x:v>
      </x:c>
      <x:c r="T44" s="61" t="n">
        <x:v>10</x:v>
      </x:c>
      <x:c r="U44" s="58" t="str">
        <x:v>$19.99</x:v>
      </x:c>
      <x:c r="V44" s="52" t="str">
        <x:v>Caramel sweetness, baking spice, and a light citrus edge give this cola a familiar fountain-soda character.</x:v>
      </x:c>
      <x:c r="W44" s="52" t="str">
        <x:v>https://maryjonescannabis.com/</x:v>
      </x:c>
    </x:row>
    <x:row r="45" s="20" customFormat="1" ht="34" customHeight="1">
      <x:c r="A45" s="58" t="str">
        <x:v>Ray's Lemonade</x:v>
      </x:c>
      <x:c r="B45" s="58" t="str">
        <x:v>Original Lemonade 12 oz</x:v>
      </x:c>
      <x:c r="C45" s="58" t="str">
        <x:v>Original Lemonade</x:v>
      </x:c>
      <x:c r="D45" s="58" t="str">
        <x:v>THC Only</x:v>
      </x:c>
      <x:c r="E45" s="58" t="str">
        <x:v>Sativa Hybrid</x:v>
      </x:c>
      <x:c r="F45" s="58" t="str">
        <x:v>Drink</x:v>
      </x:c>
      <x:c r="G45" s="59" t="str">
        <x:v>12 oz</x:v>
      </x:c>
      <x:c r="H45" s="59" t="str">
        <x:v>THC Only</x:v>
      </x:c>
      <x:c r="I45" s="58"/>
      <x:c r="J45" s="60" t="n">
        <x:v>10</x:v>
      </x:c>
      <x:c r="K45" s="60" t="n">
        <x:f>J45*$T45</x:f>
        <x:v>100</x:v>
      </x:c>
      <x:c r="L45" s="60" t="n">
        <x:v>0</x:v>
      </x:c>
      <x:c r="M45" s="60" t="n">
        <x:f>L45*$T45</x:f>
        <x:v>0</x:v>
      </x:c>
      <x:c r="N45" s="60" t="n">
        <x:v>0</x:v>
      </x:c>
      <x:c r="O45" s="60" t="n">
        <x:f>N45*$T45</x:f>
        <x:v>0</x:v>
      </x:c>
      <x:c r="P45" s="60" t="n">
        <x:v>0</x:v>
      </x:c>
      <x:c r="Q45" s="60" t="n">
        <x:f>P45*$T45</x:f>
        <x:v>0</x:v>
      </x:c>
      <x:c r="R45" s="60" t="n">
        <x:v>0</x:v>
      </x:c>
      <x:c r="S45" s="60" t="n">
        <x:f>R45*$T45</x:f>
        <x:v>0</x:v>
      </x:c>
      <x:c r="T45" s="61" t="n">
        <x:v>10</x:v>
      </x:c>
      <x:c r="U45" s="58" t="str">
        <x:v>$14.99</x:v>
      </x:c>
      <x:c r="V45" s="52" t="str">
        <x:v>Straightforward lemon juice character balances sweetness with a clean tart finish—the simplest expression of Ray's lemonade style.</x:v>
      </x:c>
      <x:c r="W45" s="52" t="str">
        <x:v>Mock extension based on Ray's Lemonade's established product format/flavor direction</x:v>
      </x:c>
    </x:row>
    <x:row r="46" s="20" customFormat="1" ht="34" customHeight="1">
      <x:c r="A46" s="58" t="str">
        <x:v>Ray's Lemonade</x:v>
      </x:c>
      <x:c r="B46" s="58" t="str">
        <x:v>Strawberry Lemonade 12 oz</x:v>
      </x:c>
      <x:c r="C46" s="58" t="str">
        <x:v>Strawberry Lemonade</x:v>
      </x:c>
      <x:c r="D46" s="58" t="str">
        <x:v>THC Only</x:v>
      </x:c>
      <x:c r="E46" s="58" t="str">
        <x:v>Hybrid</x:v>
      </x:c>
      <x:c r="F46" s="58" t="str">
        <x:v>Drink</x:v>
      </x:c>
      <x:c r="G46" s="59" t="str">
        <x:v>12 oz</x:v>
      </x:c>
      <x:c r="H46" s="59" t="str">
        <x:v>THC Only</x:v>
      </x:c>
      <x:c r="I46" s="58"/>
      <x:c r="J46" s="60" t="n">
        <x:v>10</x:v>
      </x:c>
      <x:c r="K46" s="60" t="n">
        <x:f>J46*$T46</x:f>
        <x:v>100</x:v>
      </x:c>
      <x:c r="L46" s="60" t="n">
        <x:v>0</x:v>
      </x:c>
      <x:c r="M46" s="60" t="n">
        <x:f>L46*$T46</x:f>
        <x:v>0</x:v>
      </x:c>
      <x:c r="N46" s="60" t="n">
        <x:v>0</x:v>
      </x:c>
      <x:c r="O46" s="60" t="n">
        <x:f>N46*$T46</x:f>
        <x:v>0</x:v>
      </x:c>
      <x:c r="P46" s="60" t="n">
        <x:v>0</x:v>
      </x:c>
      <x:c r="Q46" s="60" t="n">
        <x:f>P46*$T46</x:f>
        <x:v>0</x:v>
      </x:c>
      <x:c r="R46" s="60" t="n">
        <x:v>0</x:v>
      </x:c>
      <x:c r="S46" s="60" t="n">
        <x:f>R46*$T46</x:f>
        <x:v>0</x:v>
      </x:c>
      <x:c r="T46" s="61" t="n">
        <x:v>10</x:v>
      </x:c>
      <x:c r="U46" s="58" t="str">
        <x:v>$15.99</x:v>
      </x:c>
      <x:c r="V46" s="52" t="str">
        <x:v>Ripe strawberry rounds off the lemon's sharper edges, creating a sweeter berry-led take on the classic lemonade base.</x:v>
      </x:c>
      <x:c r="W46" s="52" t="str">
        <x:v>Mock extension based on Ray's Lemonade's established product format/flavor direction</x:v>
      </x:c>
    </x:row>
    <x:row r="47" s="20" customFormat="1" ht="34" customHeight="1">
      <x:c r="A47" s="58" t="str">
        <x:v>Ray's Lemonade</x:v>
      </x:c>
      <x:c r="B47" s="58" t="str">
        <x:v>Huckleberry Lemonade 12 oz</x:v>
      </x:c>
      <x:c r="C47" s="58" t="str">
        <x:v>Huckleberry Lemonade</x:v>
      </x:c>
      <x:c r="D47" s="58" t="str">
        <x:v>THC Only</x:v>
      </x:c>
      <x:c r="E47" s="58" t="str">
        <x:v>Sativa Hybrid</x:v>
      </x:c>
      <x:c r="F47" s="58" t="str">
        <x:v>Drink</x:v>
      </x:c>
      <x:c r="G47" s="59" t="str">
        <x:v>12 oz</x:v>
      </x:c>
      <x:c r="H47" s="59" t="str">
        <x:v>THC Only</x:v>
      </x:c>
      <x:c r="I47" s="58"/>
      <x:c r="J47" s="60" t="n">
        <x:v>10</x:v>
      </x:c>
      <x:c r="K47" s="60" t="n">
        <x:f>J47*$T47</x:f>
        <x:v>100</x:v>
      </x:c>
      <x:c r="L47" s="60" t="n">
        <x:v>0</x:v>
      </x:c>
      <x:c r="M47" s="60" t="n">
        <x:f>L47*$T47</x:f>
        <x:v>0</x:v>
      </x:c>
      <x:c r="N47" s="60" t="n">
        <x:v>0</x:v>
      </x:c>
      <x:c r="O47" s="60" t="n">
        <x:f>N47*$T47</x:f>
        <x:v>0</x:v>
      </x:c>
      <x:c r="P47" s="60" t="n">
        <x:v>0</x:v>
      </x:c>
      <x:c r="Q47" s="60" t="n">
        <x:f>P47*$T47</x:f>
        <x:v>0</x:v>
      </x:c>
      <x:c r="R47" s="60" t="n">
        <x:v>0</x:v>
      </x:c>
      <x:c r="S47" s="60" t="n">
        <x:f>R47*$T47</x:f>
        <x:v>0</x:v>
      </x:c>
      <x:c r="T47" s="61" t="n">
        <x:v>10</x:v>
      </x:c>
      <x:c r="U47" s="58" t="str">
        <x:v>$15.99</x:v>
      </x:c>
      <x:c r="V47" s="52" t="str">
        <x:v>Wild huckleberry brings a distinctly Northwest berry sweetness before a subtle tart lemonade finish cleans up the sip.</x:v>
      </x:c>
      <x:c r="W47" s="52" t="str">
        <x:v>Mock extension based on Ray's Lemonade's established product format/flavor direction</x:v>
      </x:c>
    </x:row>
    <x:row r="48" s="20" customFormat="1" ht="34" customHeight="1">
      <x:c r="A48" s="58" t="str">
        <x:v>Ray's Lemonade</x:v>
      </x:c>
      <x:c r="B48" s="58" t="str">
        <x:v>Pineapple Lemonade Shot 4 oz</x:v>
      </x:c>
      <x:c r="C48" s="58" t="str">
        <x:v>Pineapple Lemonade</x:v>
      </x:c>
      <x:c r="D48" s="58" t="str">
        <x:v>THC Only</x:v>
      </x:c>
      <x:c r="E48" s="58" t="str">
        <x:v>Sativa Hybrid</x:v>
      </x:c>
      <x:c r="F48" s="58" t="str">
        <x:v>Shot</x:v>
      </x:c>
      <x:c r="G48" s="59" t="str">
        <x:v>4 oz</x:v>
      </x:c>
      <x:c r="H48" s="59" t="str">
        <x:v>THC Only</x:v>
      </x:c>
      <x:c r="I48" s="58"/>
      <x:c r="J48" s="60" t="n">
        <x:v>10</x:v>
      </x:c>
      <x:c r="K48" s="60" t="n">
        <x:f>J48*$T48</x:f>
        <x:v>100</x:v>
      </x:c>
      <x:c r="L48" s="60" t="n">
        <x:v>0</x:v>
      </x:c>
      <x:c r="M48" s="60" t="n">
        <x:f>L48*$T48</x:f>
        <x:v>0</x:v>
      </x:c>
      <x:c r="N48" s="60" t="n">
        <x:v>0</x:v>
      </x:c>
      <x:c r="O48" s="60" t="n">
        <x:f>N48*$T48</x:f>
        <x:v>0</x:v>
      </x:c>
      <x:c r="P48" s="60" t="n">
        <x:v>0</x:v>
      </x:c>
      <x:c r="Q48" s="60" t="n">
        <x:f>P48*$T48</x:f>
        <x:v>0</x:v>
      </x:c>
      <x:c r="R48" s="60" t="n">
        <x:v>0</x:v>
      </x:c>
      <x:c r="S48" s="60" t="n">
        <x:f>R48*$T48</x:f>
        <x:v>0</x:v>
      </x:c>
      <x:c r="T48" s="61" t="n">
        <x:v>10</x:v>
      </x:c>
      <x:c r="U48" s="58" t="str">
        <x:v>$13.99</x:v>
      </x:c>
      <x:c r="V48" s="52" t="str">
        <x:v>Sweet pineapple and bright citrus make this compact lemonade shot tropical, tangy, and more refreshing than syrupy.</x:v>
      </x:c>
      <x:c r="W48" s="52" t="str">
        <x:v>Mock extension based on Ray's Lemonade's established product format/flavor direction</x:v>
      </x:c>
    </x:row>
    <x:row r="49" s="20" customFormat="1" ht="34" customHeight="1">
      <x:c r="A49" s="58" t="str">
        <x:v>Ray's Lemonade</x:v>
      </x:c>
      <x:c r="B49" s="58" t="str">
        <x:v>Raspberry Lemonade Shot 4 oz</x:v>
      </x:c>
      <x:c r="C49" s="58" t="str">
        <x:v>Raspberry Lemonade</x:v>
      </x:c>
      <x:c r="D49" s="58" t="str">
        <x:v>Blend</x:v>
      </x:c>
      <x:c r="E49" s="58" t="str">
        <x:v>Hybrid</x:v>
      </x:c>
      <x:c r="F49" s="58" t="str">
        <x:v>Shot</x:v>
      </x:c>
      <x:c r="G49" s="59" t="str">
        <x:v>4 oz</x:v>
      </x:c>
      <x:c r="H49" s="59" t="str">
        <x:v>THC:CBD</x:v>
      </x:c>
      <x:c r="I49" s="58" t="str">
        <x:v>2:1</x:v>
      </x:c>
      <x:c r="J49" s="60" t="n">
        <x:v>5</x:v>
      </x:c>
      <x:c r="K49" s="60" t="n">
        <x:f>J49*$T49</x:f>
        <x:v>50</x:v>
      </x:c>
      <x:c r="L49" s="60" t="n">
        <x:v>2.5</x:v>
      </x:c>
      <x:c r="M49" s="60" t="n">
        <x:f>L49*$T49</x:f>
        <x:v>25</x:v>
      </x:c>
      <x:c r="N49" s="60" t="n">
        <x:v>0</x:v>
      </x:c>
      <x:c r="O49" s="60" t="n">
        <x:f>N49*$T49</x:f>
        <x:v>0</x:v>
      </x:c>
      <x:c r="P49" s="60" t="n">
        <x:v>0</x:v>
      </x:c>
      <x:c r="Q49" s="60" t="n">
        <x:f>P49*$T49</x:f>
        <x:v>0</x:v>
      </x:c>
      <x:c r="R49" s="60" t="n">
        <x:v>0</x:v>
      </x:c>
      <x:c r="S49" s="60" t="n">
        <x:f>R49*$T49</x:f>
        <x:v>0</x:v>
      </x:c>
      <x:c r="T49" s="61" t="n">
        <x:v>10</x:v>
      </x:c>
      <x:c r="U49" s="58" t="str">
        <x:v>$14.99</x:v>
      </x:c>
      <x:c r="V49" s="52" t="str">
        <x:v>Juicy raspberry gives the concentrated lemonade a tart berry bite, with lemon keeping the finish sharp.</x:v>
      </x:c>
      <x:c r="W49" s="52" t="str">
        <x:v>Mock extension based on Ray's Lemonade's established product format/flavor direction</x:v>
      </x:c>
    </x:row>
    <x:row r="50" s="20" customFormat="1" ht="34" customHeight="1">
      <x:c r="A50" s="58" t="str">
        <x:v>Ray's Lemonade</x:v>
      </x:c>
      <x:c r="B50" s="58" t="str">
        <x:v>Peach Lemonade 12 oz</x:v>
      </x:c>
      <x:c r="C50" s="58" t="str">
        <x:v>Peach Lemonade</x:v>
      </x:c>
      <x:c r="D50" s="58" t="str">
        <x:v>Blend</x:v>
      </x:c>
      <x:c r="E50" s="58" t="str">
        <x:v>Holistic</x:v>
      </x:c>
      <x:c r="F50" s="58" t="str">
        <x:v>Drink</x:v>
      </x:c>
      <x:c r="G50" s="59" t="str">
        <x:v>12 oz</x:v>
      </x:c>
      <x:c r="H50" s="59" t="str">
        <x:v>THC:CBD</x:v>
      </x:c>
      <x:c r="I50" s="58" t="str">
        <x:v>1:1</x:v>
      </x:c>
      <x:c r="J50" s="60" t="n">
        <x:v>10</x:v>
      </x:c>
      <x:c r="K50" s="60" t="n">
        <x:f>J50*$T50</x:f>
        <x:v>100</x:v>
      </x:c>
      <x:c r="L50" s="60" t="n">
        <x:v>10</x:v>
      </x:c>
      <x:c r="M50" s="60" t="n">
        <x:f>L50*$T50</x:f>
        <x:v>100</x:v>
      </x:c>
      <x:c r="N50" s="60" t="n">
        <x:v>0</x:v>
      </x:c>
      <x:c r="O50" s="60" t="n">
        <x:f>N50*$T50</x:f>
        <x:v>0</x:v>
      </x:c>
      <x:c r="P50" s="60" t="n">
        <x:v>0</x:v>
      </x:c>
      <x:c r="Q50" s="60" t="n">
        <x:f>P50*$T50</x:f>
        <x:v>0</x:v>
      </x:c>
      <x:c r="R50" s="60" t="n">
        <x:v>0</x:v>
      </x:c>
      <x:c r="S50" s="60" t="n">
        <x:f>R50*$T50</x:f>
        <x:v>0</x:v>
      </x:c>
      <x:c r="T50" s="61" t="n">
        <x:v>10</x:v>
      </x:c>
      <x:c r="U50" s="58" t="str">
        <x:v>$16.99</x:v>
      </x:c>
      <x:c r="V50" s="52" t="str">
        <x:v>Soft peach adds mellow stone-fruit sweetness to the lemonade base, producing a rounder and less acidic fruit profile.</x:v>
      </x:c>
      <x:c r="W50" s="52" t="str">
        <x:v>Mock extension based on Ray's Lemonade's established product format/flavor direction</x:v>
      </x:c>
    </x:row>
    <x:row r="51" s="20" customFormat="1" ht="34" customHeight="1">
      <x:c r="A51" s="58" t="str">
        <x:v>Ray's Lemonade</x:v>
      </x:c>
      <x:c r="B51" s="58" t="str">
        <x:v>Blueberry Lemonade 12 oz</x:v>
      </x:c>
      <x:c r="C51" s="58" t="str">
        <x:v>Blueberry Lemonade</x:v>
      </x:c>
      <x:c r="D51" s="58" t="str">
        <x:v>CBD</x:v>
      </x:c>
      <x:c r="E51" s="58" t="str">
        <x:v>Holistic</x:v>
      </x:c>
      <x:c r="F51" s="58" t="str">
        <x:v>Drink</x:v>
      </x:c>
      <x:c r="G51" s="59" t="str">
        <x:v>12 oz</x:v>
      </x:c>
      <x:c r="H51" s="59" t="str">
        <x:v>CBD Only</x:v>
      </x:c>
      <x:c r="I51" s="58"/>
      <x:c r="J51" s="60" t="n">
        <x:v>0</x:v>
      </x:c>
      <x:c r="K51" s="60" t="n">
        <x:f>J51*$T51</x:f>
        <x:v>0</x:v>
      </x:c>
      <x:c r="L51" s="60" t="n">
        <x:v>10</x:v>
      </x:c>
      <x:c r="M51" s="60" t="n">
        <x:f>L51*$T51</x:f>
        <x:v>100</x:v>
      </x:c>
      <x:c r="N51" s="60" t="n">
        <x:v>0</x:v>
      </x:c>
      <x:c r="O51" s="60" t="n">
        <x:f>N51*$T51</x:f>
        <x:v>0</x:v>
      </x:c>
      <x:c r="P51" s="60" t="n">
        <x:v>0</x:v>
      </x:c>
      <x:c r="Q51" s="60" t="n">
        <x:f>P51*$T51</x:f>
        <x:v>0</x:v>
      </x:c>
      <x:c r="R51" s="60" t="n">
        <x:v>0</x:v>
      </x:c>
      <x:c r="S51" s="60" t="n">
        <x:f>R51*$T51</x:f>
        <x:v>0</x:v>
      </x:c>
      <x:c r="T51" s="61" t="n">
        <x:v>10</x:v>
      </x:c>
      <x:c r="U51" s="58" t="str">
        <x:v>$15.99</x:v>
      </x:c>
      <x:c r="V51" s="52" t="str">
        <x:v>Blueberry adds dark berry sweetness to bright lemonade, finishing tart enough to keep the combination balanced.</x:v>
      </x:c>
      <x:c r="W51" s="52" t="str">
        <x:v>Mock extension based on Ray's Lemonade's established product format/flavor direction</x:v>
      </x:c>
    </x:row>
  </x:sheetData>
  <x:pageMargins left="0.7" right="0.7" top="0.75" bottom="0.75" header="0.3" footer="0.3"/>
  <x:tableParts count="1">
    <x:tablePart xmlns:r="http://schemas.openxmlformats.org/officeDocument/2006/relationships" r:id="R8a469e38f6764ec8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style="20" customWidth="1"/>
    <x:col min="2" max="2" width="75" style="20" hidden="0" customWidth="1"/>
  </x:cols>
  <x:sheetData>
    <x:row r="1" s="20" customFormat="1" ht="32" customHeight="1">
      <x:c r="A1" s="5" t="inlineStr">
        <x:is>
          <x:t xml:space="preserve">Rule</x:t>
        </x:is>
      </x:c>
      <x:c r="B1" s="41" t="inlineStr">
        <x:is>
          <x:t xml:space="preserve">Definition</x:t>
        </x:is>
      </x:c>
    </x:row>
    <x:row r="2" s="20" customFormat="1" ht="32" customHeight="1">
      <x:c r="A2" s="12" t="inlineStr">
        <x:is>
          <x:t xml:space="preserve">Catalog Size</x:t>
        </x:is>
      </x:c>
      <x:c r="B2" s="12" t="inlineStr">
        <x:is>
          <x:t xml:space="preserve">50 mock products</x:t>
        </x:is>
      </x:c>
    </x:row>
    <x:row r="3" s="20" customFormat="1" ht="32" customHeight="1">
      <x:c r="A3" s="12" t="inlineStr">
        <x:is>
          <x:t xml:space="preserve">Brand Set</x:t>
        </x:is>
      </x:c>
      <x:c r="B3" s="12" t="inlineStr">
        <x:is>
          <x:t xml:space="preserve">Green Revolution / Sungaze / Major / Swift / Cormorant / Mary Jones / Ray's Lemonade</x:t>
        </x:is>
      </x:c>
    </x:row>
    <x:row r="4" s="20" customFormat="1" ht="32" customHeight="1">
      <x:c r="A4" s="12" t="inlineStr">
        <x:is>
          <x:t xml:space="preserve">IA</x:t>
        </x:is>
      </x:c>
      <x:c r="B4" s="12" t="str">
        <x:v>THC Only / Blend / CBD → Drink / Shot / Seltzer / Sorbet / Honey</x:v>
      </x:c>
    </x:row>
    <x:row r="5" s="20" customFormat="1" ht="32" customHeight="1">
      <x:c r="A5" s="12" t="inlineStr">
        <x:is>
          <x:t xml:space="preserve">Mocking Approach</x:t>
        </x:is>
      </x:c>
      <x:c r="B5" s="12" t="inlineStr">
        <x:is>
          <x:t xml:space="preserve">Products stay close to each brand's real format and flavor direction without copying its full live catalog bar-for-bar.</x:t>
        </x:is>
      </x:c>
    </x:row>
    <x:row r="6" s="20" customFormat="1" ht="32" customHeight="1">
      <x:c r="A6" s="12" t="inlineStr">
        <x:is>
          <x:t xml:space="preserve">Dose Display</x:t>
        </x:is>
      </x:c>
      <x:c r="B6" s="12" t="inlineStr">
        <x:is>
          <x:t xml:space="preserve">THC mg and CBD mg are separate product-tile fields. No ratio navigation.</x:t>
        </x:is>
      </x:c>
    </x:row>
    <x:row r="7" s="20" customFormat="1" ht="32" customHeight="1">
      <x:c r="A7" s="12" t="inlineStr">
        <x:is>
          <x:t xml:space="preserve">Size Display</x:t>
        </x:is>
      </x:c>
      <x:c r="B7" s="12" t="inlineStr">
        <x:is>
          <x:t xml:space="preserve">Fluid ounces remain product-level information and can vary from the general 4 / 12 / 16 oz targets when the real brand commonly uses another package size.</x:t>
        </x:is>
      </x:c>
    </x:row>
    <x:row r="8" s="20" customFormat="1" ht="32" customHeight="1">
      <x:c r="A8" s="12" t="inlineStr">
        <x:is>
          <x:t xml:space="preserve">Honey</x:t>
        </x:is>
      </x:c>
      <x:c r="B8" s="12" t="inlineStr">
        <x:is>
          <x:t xml:space="preserve">Swift only</x:t>
        </x:is>
      </x:c>
    </x:row>
    <x:row r="9" s="20" customFormat="1" ht="32" customHeight="1">
      <x:c r="A9" s="12" t="inlineStr">
        <x:is>
          <x:t xml:space="preserve">Sorbet</x:t>
        </x:is>
      </x:c>
      <x:c r="B9" s="12" t="inlineStr">
        <x:is>
          <x:t xml:space="preserve">Cormorant only in this seed catalog</x:t>
        </x:is>
      </x:c>
    </x:row>
    <x:row r="10" s="20" customFormat="1" ht="32" customHeight="1">
      <x:c r="A10" s="12" t="inlineStr">
        <x:is>
          <x:t xml:space="preserve">Seltzer</x:t>
        </x:is>
      </x:c>
      <x:c r="B10" s="12" t="inlineStr">
        <x:is>
          <x:t xml:space="preserve">Sungaze only in this seed catalog</x:t>
        </x:is>
      </x:c>
    </x:row>
    <x:row r="11" s="20" customFormat="1" ht="32" customHeight="1">
      <x:c r="A11" s="12" t="inlineStr">
        <x:is>
          <x:t xml:space="preserve">Pricing</x:t>
        </x:is>
      </x:c>
      <x:c r="B11" s="12" t="inlineStr">
        <x:is>
          <x:t xml:space="preserve">Representative WA retail seed pricing, not a claim of a current store price.</x:t>
        </x:is>
      </x:c>
    </x:row>
    <x:row r="12" s="20" customFormat="1" ht="32" customHeight="1">
      <x:c r="A12" s="12" t="inlineStr">
        <x:is>
          <x:t xml:space="preserve">CBD Mock Products</x:t>
        </x:is>
      </x:c>
      <x:c r="B12" s="12" t="inlineStr">
        <x:is>
          <x:t xml:space="preserve">Some CBD-only SKUs are intentional mock extensions of a brand's established format rather than claimed current products.</x:t>
        </x:is>
      </x:c>
    </x:row>
    <x:row r="13" s="20" customFormat="1" ht="32" customHeight="1">
      <x:c r="A13" s="12" t="inlineStr">
        <x:is>
          <x:t xml:space="preserve">Ratio Display</x:t>
        </x:is>
      </x:c>
      <x:c r="B13" s="12" t="inlineStr">
        <x:is>
          <x:t xml:space="preserve">Ratio is product metadata only. It is shown when a product contains two or more cannabinoids.</x:t>
        </x:is>
      </x:c>
    </x:row>
    <x:row r="14" s="20" customFormat="1" ht="32" customHeight="1">
      <x:c r="A14" s="12" t="inlineStr">
        <x:is>
          <x:t xml:space="preserve">Green Revolution CBG</x:t>
        </x:is>
      </x:c>
      <x:c r="B14" s="12" t="str">
        <x:v>Sweet Watermelon is modeled as 1mg THC + 20mg CBG per serving / 10mg THC + 200mg CBG total (THC:CBG 1:20).</x:v>
      </x:c>
    </x:row>
    <x:row r="15">
      <x:c r="A15" s="12" t="str">
        <x:v>Lifestyle</x:v>
      </x:c>
      <x:c r="B15" s="12" t="str">
        <x:v>THC-only and THC-dominant blends use Indica / Indica Hybrid / Hybrid / Sativa Hybrid / Sativa. Balanced, CBD-dominant, CBN-dominant, CBG-dominant, CBC-dominant, and CBD-category products use Holistic.</x:v>
      </x:c>
    </x:row>
    <x:row r="16">
      <x:c r="A16" s="12" t="inlineStr">
        <x:is>
          <x:t xml:space="preserve">CBD Rule</x:t>
        </x:is>
      </x:c>
      <x:c r="B16" s="12" t="inlineStr">
        <x:is>
          <x:t xml:space="preserve">All CBD-category products are labeled CBD in the Strain Type column.</x:t>
        </x:is>
      </x:c>
    </x:row>
    <x:row r="17" s="20" customFormat="1" ht="40" customHeight="1">
      <x:c r="A17" s="12" t="inlineStr">
        <x:is>
          <x:t xml:space="preserve">Serving Size</x:t>
        </x:is>
      </x:c>
      <x:c r="B17" s="12" t="inlineStr">
        <x:is>
          <x:t xml:space="preserve">All non-seltzer products use 10 servings per package. THC products are 10mg THC per serving / 100mg THC per package; CBD products are 10mg CBD per serving / 100mg CBD per package.</x:t>
        </x:is>
      </x:c>
    </x:row>
    <x:row r="18" s="20" customFormat="1" ht="40" customHeight="1">
      <x:c r="A18" s="12" t="inlineStr">
        <x:is>
          <x:t xml:space="preserve">Blend Servings</x:t>
        </x:is>
      </x:c>
      <x:c r="B18" s="12" t="inlineStr">
        <x:is>
          <x:t xml:space="preserve">Non-seltzer blends use 10mg THC per serving; CBD is divided proportionally across the same 10 servings based on the package formulation.</x:t>
        </x:is>
      </x:c>
    </x:row>
    <x:row r="19" s="20" customFormat="1" ht="40" customHeight="1">
      <x:c r="A19" s="12" t="inlineStr">
        <x:is>
          <x:t xml:space="preserve">Seltzer Exception</x:t>
        </x:is>
      </x:c>
      <x:c r="B19" s="12" t="inlineStr">
        <x:is>
          <x:t xml:space="preserve">Seltzers are one serving per can and retain their small THC/CBD amounts (for example 2.5mg THC + 5mg CBD or 10mg THC + 5mg CBD).</x:t>
        </x:is>
      </x:c>
    </x:row>
  </x:sheetData>
  <x:pageMargins left="0.7" right="0.7" top="0.75" bottom="0.75" header="0.3" footer="0.3"/>
</x:worksheet>
</file>