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Topicals_IA" sheetId="1" state="visible" r:id="rId1"/>
    <sheet name="Topical_Products" sheetId="2" state="visible" r:id="rId2"/>
    <sheet name="Quantity Notes" sheetId="3" state="visible" r:id="rId3"/>
    <sheet name="Regulatory Audit" sheetId="4" state="visible" r:id="rId4"/>
  </sheets>
  <definedNames/>
</workbook>
</file>

<file path=xl/styles.xml><?xml version="1.0" encoding="utf-8"?>
<styleSheet xmlns="http://schemas.openxmlformats.org/spreadsheetml/2006/main">
  <numFmts count="0"/>
  <fonts count="3">
    <font>
      <name val="Calibri"/>
      <color theme="1"/>
      <sz val="11"/>
    </font>
    <font>
      <name val="Calibri"/>
      <b val="1"/>
      <color rgb="FFFFFFFF"/>
      <sz val="11"/>
    </font>
    <font>
      <b val="1"/>
    </font>
  </fonts>
  <fills count="4">
    <fill>
      <patternFill/>
    </fill>
    <fill>
      <patternFill patternType="gray125"/>
    </fill>
    <fill>
      <patternFill patternType="solid">
        <fgColor rgb="FF4F6F52"/>
      </patternFill>
    </fill>
    <fill>
      <patternFill patternType="solid">
        <fgColor rgb="FF4F6F52"/>
      </patternFill>
    </fill>
  </fills>
  <borders count="2">
    <border/>
    <border/>
  </borders>
  <cellStyleXfs count="1">
    <xf numFmtId="0" fontId="0" fillId="0" borderId="1"/>
  </cellStyleXfs>
  <cellXfs count="24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2" fontId="0" fillId="0" borderId="0" pivotButton="0" quotePrefix="0" xfId="0"/>
    <xf numFmtId="2" fontId="0" fillId="0" borderId="1" pivotButton="0" quotePrefix="0" xfId="0"/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0" pivotButton="0" quotePrefix="0" xfId="0"/>
    <xf numFmtId="0" fontId="0" fillId="3" borderId="0" pivotButton="0" quotePrefix="0" xfId="0"/>
    <xf numFmtId="0" fontId="1" fillId="3" borderId="0" pivotButton="0" quotePrefix="0" xfId="0"/>
    <xf numFmtId="0" fontId="1" fillId="3" borderId="0" applyAlignment="1" pivotButton="0" quotePrefix="0" xfId="0">
      <alignment wrapText="1"/>
    </xf>
    <xf numFmtId="0" fontId="1" fillId="3" borderId="0" applyAlignment="1" pivotButton="0" quotePrefix="0" xfId="0">
      <alignment horizontal="center" wrapText="1"/>
    </xf>
    <xf numFmtId="0" fontId="1" fillId="3" borderId="0" applyAlignment="1" pivotButton="0" quotePrefix="0" xfId="0">
      <alignment horizontal="center" vertical="center" wrapText="1"/>
    </xf>
    <xf numFmtId="0" fontId="2" fillId="0" borderId="0" pivotButton="0" quotePrefix="0" xfId="0"/>
    <xf numFmtId="2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Effect</t>
        </is>
      </c>
      <c r="B1" t="inlineStr">
        <is>
          <t>Available Product Types</t>
        </is>
      </c>
    </row>
    <row r="2">
      <c r="A2" t="inlineStr">
        <is>
          <t>Pain Relief</t>
        </is>
      </c>
      <c r="B2" t="inlineStr">
        <is>
          <t>Cream, Balm / Salve, Roll-On, Stick, Gel, Lotion, Oil, Transdermal Patch</t>
        </is>
      </c>
    </row>
    <row r="3">
      <c r="A3" t="inlineStr">
        <is>
          <t>Recovery</t>
        </is>
      </c>
      <c r="B3" t="inlineStr">
        <is>
          <t>Cream, Balm / Salve, Roll-On, Stick, Gel, Lotion, Oil, Transdermal Patch, Bath Soak</t>
        </is>
      </c>
    </row>
    <row r="4">
      <c r="A4" t="inlineStr">
        <is>
          <t>Cooling</t>
        </is>
      </c>
      <c r="B4" t="inlineStr">
        <is>
          <t>Gel, Roll-On, Cream, Stick</t>
        </is>
      </c>
    </row>
    <row r="5">
      <c r="A5" t="inlineStr">
        <is>
          <t>Warming</t>
        </is>
      </c>
      <c r="B5" t="inlineStr">
        <is>
          <t>Cream, Balm / Salve, Roll-On, Transdermal Patch</t>
        </is>
      </c>
    </row>
    <row r="6">
      <c r="A6" t="inlineStr">
        <is>
          <t>Massage</t>
        </is>
      </c>
      <c r="B6" t="inlineStr">
        <is>
          <t>Oil, Lotion, Cream</t>
        </is>
      </c>
    </row>
    <row r="7">
      <c r="A7" t="inlineStr">
        <is>
          <t>Skincare</t>
        </is>
      </c>
      <c r="B7" t="inlineStr">
        <is>
          <t>Cream, Lotion, Oil, Balm / Salve</t>
        </is>
      </c>
    </row>
    <row r="8">
      <c r="A8" t="inlineStr">
        <is>
          <t>Intimacy</t>
        </is>
      </c>
      <c r="B8" t="inlineStr">
        <is>
          <t>Lubricant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36"/>
  <sheetViews>
    <sheetView workbookViewId="0">
      <selection activeCell="A1" sqref="A1"/>
    </sheetView>
  </sheetViews>
  <sheetFormatPr baseColWidth="8" defaultRowHeight="15"/>
  <cols>
    <col width="20" customWidth="1" style="16" min="1" max="1"/>
    <col width="24" customWidth="1" style="16" min="2" max="2"/>
    <col width="20" customWidth="1" style="16" min="3" max="3"/>
    <col width="16" customWidth="1" style="16" min="4" max="4"/>
    <col width="12" customWidth="1" style="16" min="5" max="5"/>
    <col width="12" customWidth="1" style="16" min="6" max="6"/>
    <col width="20" customWidth="1" style="16" min="7" max="7"/>
    <col width="14" customWidth="1" style="16" min="8" max="8"/>
    <col width="18" customWidth="1" style="16" min="9" max="9"/>
    <col width="14" customWidth="1" style="16" min="10" max="10"/>
    <col width="52" customWidth="1" style="16" min="11" max="11"/>
    <col width="15" customWidth="1" style="16" min="12" max="12"/>
    <col width="16" customWidth="1" style="16" min="13" max="13"/>
    <col width="11" customWidth="1" style="16" min="14" max="14"/>
    <col width="19" customWidth="1" style="16" min="15" max="15"/>
    <col width="12" customWidth="1" style="16" min="16" max="16"/>
    <col width="50" customWidth="1" style="16" min="17" max="17"/>
    <col width="58" customWidth="1" style="16" min="18" max="18"/>
    <col width="30" customWidth="1" style="16" min="19" max="19"/>
    <col width="64" customWidth="1" style="16" min="20" max="20"/>
    <col width="74" customWidth="1" style="16" min="21" max="21"/>
    <col width="24" customWidth="1" style="16" min="22" max="22"/>
  </cols>
  <sheetData>
    <row r="1">
      <c r="A1" t="inlineStr">
        <is>
          <t>Brand</t>
        </is>
      </c>
      <c r="B1" t="inlineStr">
        <is>
          <t>Product Name</t>
        </is>
      </c>
      <c r="C1" t="inlineStr">
        <is>
          <t>Product Type</t>
        </is>
      </c>
      <c r="D1" t="inlineStr">
        <is>
          <t>Effect</t>
        </is>
      </c>
      <c r="E1" t="inlineStr">
        <is>
          <t>THC (mg)</t>
        </is>
      </c>
      <c r="F1" t="inlineStr">
        <is>
          <t>CBD (mg)</t>
        </is>
      </c>
      <c r="G1" t="inlineStr">
        <is>
          <t>Other Cannabinoids</t>
        </is>
      </c>
      <c r="H1" t="inlineStr">
        <is>
          <t>Ratio</t>
        </is>
      </c>
      <c r="I1" t="inlineStr">
        <is>
          <t>Original Size Entry</t>
        </is>
      </c>
      <c r="J1" t="inlineStr">
        <is>
          <t>MSRP (USD)</t>
        </is>
      </c>
      <c r="K1" t="inlineStr">
        <is>
          <t>Description</t>
        </is>
      </c>
      <c r="L1" s="6" t="inlineStr">
        <is>
          <t>Net Qty Basis</t>
        </is>
      </c>
      <c r="M1" s="6" t="inlineStr">
        <is>
          <t>Net Amount (US)</t>
        </is>
      </c>
      <c r="N1" s="6" t="inlineStr">
        <is>
          <t>US Unit</t>
        </is>
      </c>
      <c r="O1" s="6" t="inlineStr">
        <is>
          <t>Net Amount (Metric)</t>
        </is>
      </c>
      <c r="P1" s="6" t="inlineStr">
        <is>
          <t>Metric Unit</t>
        </is>
      </c>
      <c r="Q1" s="6" t="inlineStr">
        <is>
          <t>Qty Confidence / Basis</t>
        </is>
      </c>
      <c r="R1" s="6" t="inlineStr">
        <is>
          <t>Qty Source</t>
        </is>
      </c>
      <c r="S1" s="21" t="inlineStr">
        <is>
          <t>Regulatory Quantity Display</t>
        </is>
      </c>
      <c r="T1" s="21" t="inlineStr">
        <is>
          <t>Regulatory Audit Note</t>
        </is>
      </c>
      <c r="U1" s="21" t="inlineStr">
        <is>
          <t>THC Serving/Application Review</t>
        </is>
      </c>
      <c r="V1" s="21" t="inlineStr">
        <is>
          <t>Minimum Applications at ≤10mg THC</t>
        </is>
      </c>
      <c r="W1" s="22" t="inlineStr">
        <is>
          <t>App Tile Size</t>
        </is>
      </c>
    </row>
    <row r="2">
      <c r="A2" t="inlineStr">
        <is>
          <t>Ceres</t>
        </is>
      </c>
      <c r="B2" t="inlineStr">
        <is>
          <t>Dragon Balm</t>
        </is>
      </c>
      <c r="C2" t="inlineStr">
        <is>
          <t>Balm / Salve</t>
        </is>
      </c>
      <c r="D2" t="inlineStr">
        <is>
          <t>Pain Relief</t>
        </is>
      </c>
      <c r="E2" t="n">
        <v>100</v>
      </c>
      <c r="F2" t="n">
        <v>100</v>
      </c>
      <c r="H2" t="inlineStr">
        <is>
          <t>1:1</t>
        </is>
      </c>
      <c r="I2" t="inlineStr">
        <is>
          <t>60</t>
        </is>
      </c>
      <c r="J2" t="n">
        <v>24.99</v>
      </c>
      <c r="K2" s="14" t="inlineStr">
        <is>
          <t>A concentrated herbal balm formulated for targeted relief on sore muscles and overworked joints with a rich, non-greasy finish.</t>
        </is>
      </c>
      <c r="L2" t="inlineStr">
        <is>
          <t>Weight</t>
        </is>
      </c>
      <c r="M2" s="23" t="n">
        <v>2</v>
      </c>
      <c r="N2" t="inlineStr">
        <is>
          <t>oz</t>
        </is>
      </c>
      <c r="O2" s="23" t="n">
        <v>56.7</v>
      </c>
      <c r="P2" t="inlineStr">
        <is>
          <t>g</t>
        </is>
      </c>
      <c r="Q2" s="14" t="inlineStr">
        <is>
          <t>Researched — Ceres Dragon Balm commonly listed at 2 oz</t>
        </is>
      </c>
      <c r="R2" s="14" t="inlineStr">
        <is>
          <t>https://seattle.betterhashtag.com/menus/topical</t>
        </is>
      </c>
      <c r="S2">
        <f>"Net Wt. "&amp;TEXT(M2,"0.##")&amp;" oz ("&amp;TEXT(O2,"0.#")&amp;" "&amp;P2&amp;")"</f>
        <v/>
      </c>
      <c r="T2" s="14" t="inlineStr">
        <is>
          <t>WA schema check: topical label must prominently display net weight in oz + g or volume as applicable. This catalog separates physical quantity from cannabinoid mg. Estimated quantities must be replaced by the licensed processor/POS label value for production use.</t>
        </is>
      </c>
      <c r="U2" s="14" t="inlineStr">
        <is>
          <t>Package total alone does not establish serving/application compliance. At least 10 applications would be needed for ≤10mg THC per application if THC were evenly apportioned.</t>
        </is>
      </c>
      <c r="V2" t="n">
        <v>10</v>
      </c>
      <c r="W2" t="inlineStr">
        <is>
          <t>60 mL</t>
        </is>
      </c>
    </row>
    <row r="3">
      <c r="A3" t="inlineStr">
        <is>
          <t>Ceres</t>
        </is>
      </c>
      <c r="B3" t="inlineStr">
        <is>
          <t>Joint Stick</t>
        </is>
      </c>
      <c r="C3" t="inlineStr">
        <is>
          <t>Stick</t>
        </is>
      </c>
      <c r="D3" t="inlineStr">
        <is>
          <t>Pain Relief</t>
        </is>
      </c>
      <c r="E3" t="n">
        <v>100</v>
      </c>
      <c r="F3" t="n">
        <v>100</v>
      </c>
      <c r="H3" t="inlineStr">
        <is>
          <t>1:1</t>
        </is>
      </c>
      <c r="I3" t="inlineStr">
        <is>
          <t>75</t>
        </is>
      </c>
      <c r="J3" t="n">
        <v>29.99</v>
      </c>
      <c r="K3" s="14" t="inlineStr">
        <is>
          <t>Twist-up topical stick designed for precise application on knees, elbows, wrists, and other high-use joints.</t>
        </is>
      </c>
      <c r="L3" t="inlineStr">
        <is>
          <t>Weight</t>
        </is>
      </c>
      <c r="M3" s="23" t="n">
        <v>3.4</v>
      </c>
      <c r="N3" t="inlineStr">
        <is>
          <t>oz</t>
        </is>
      </c>
      <c r="O3" s="23" t="n">
        <v>96.40000000000001</v>
      </c>
      <c r="P3" t="inlineStr">
        <is>
          <t>g</t>
        </is>
      </c>
      <c r="Q3" s="14" t="inlineStr">
        <is>
          <t>Estimated exact SKU; anchored to Ceres 3.4 oz roll-up format</t>
        </is>
      </c>
      <c r="R3" s="14" t="inlineStr">
        <is>
          <t>https://seattle.betterhashtag.com/menus/topical</t>
        </is>
      </c>
      <c r="S3">
        <f>"Net Wt. "&amp;TEXT(M3,"0.##")&amp;" oz ("&amp;TEXT(O3,"0.#")&amp;" "&amp;P3&amp;")"</f>
        <v/>
      </c>
      <c r="T3" s="14" t="inlineStr">
        <is>
          <t>WA schema check: topical label must prominently display net weight in oz + g or volume as applicable. This catalog separates physical quantity from cannabinoid mg. Estimated quantities must be replaced by the licensed processor/POS label value for production use.</t>
        </is>
      </c>
      <c r="U3" s="14" t="inlineStr">
        <is>
          <t>Package total alone does not establish serving/application compliance. At least 10 applications would be needed for ≤10mg THC per application if THC were evenly apportioned.</t>
        </is>
      </c>
      <c r="V3" t="n">
        <v>10</v>
      </c>
      <c r="W3" t="inlineStr">
        <is>
          <t>75 mL</t>
        </is>
      </c>
    </row>
    <row r="4">
      <c r="A4" t="inlineStr">
        <is>
          <t>Ceres</t>
        </is>
      </c>
      <c r="B4" t="inlineStr">
        <is>
          <t>Relief Roll-On</t>
        </is>
      </c>
      <c r="C4" t="inlineStr">
        <is>
          <t>Roll-On</t>
        </is>
      </c>
      <c r="D4" t="inlineStr">
        <is>
          <t>Pain Relief</t>
        </is>
      </c>
      <c r="E4" t="n">
        <v>100</v>
      </c>
      <c r="F4" t="n">
        <v>100</v>
      </c>
      <c r="H4" t="inlineStr">
        <is>
          <t>1:1</t>
        </is>
      </c>
      <c r="I4" t="inlineStr">
        <is>
          <t>100</t>
        </is>
      </c>
      <c r="J4" t="n">
        <v>24.99</v>
      </c>
      <c r="K4" s="14" t="inlineStr">
        <is>
          <t>Cooling roll-on with a mess-free applicator that fits easily into a gym bag or travel kit.</t>
        </is>
      </c>
      <c r="L4" t="inlineStr">
        <is>
          <t>Weight</t>
        </is>
      </c>
      <c r="M4" s="23" t="n">
        <v>3.4</v>
      </c>
      <c r="N4" t="inlineStr">
        <is>
          <t>oz</t>
        </is>
      </c>
      <c r="O4" s="23" t="n">
        <v>96.40000000000001</v>
      </c>
      <c r="P4" t="inlineStr">
        <is>
          <t>g</t>
        </is>
      </c>
      <c r="Q4" s="14" t="inlineStr">
        <is>
          <t>Estimated exact SKU; anchored to Ceres 3.4 oz Dragon roll-on format</t>
        </is>
      </c>
      <c r="R4" s="14" t="inlineStr">
        <is>
          <t>https://cannabrands.com/dispensaries/washington/valley/access-canibus-llc?category=topical</t>
        </is>
      </c>
      <c r="S4">
        <f>"Net Wt. "&amp;TEXT(M4,"0.##")&amp;" oz ("&amp;TEXT(O4,"0.#")&amp;" "&amp;P4&amp;")"</f>
        <v/>
      </c>
      <c r="T4" s="14" t="inlineStr">
        <is>
          <t>WA schema check: topical label must prominently display net weight in oz + g or volume as applicable. This catalog separates physical quantity from cannabinoid mg. Estimated quantities must be replaced by the licensed processor/POS label value for production use.</t>
        </is>
      </c>
      <c r="U4" s="14" t="inlineStr">
        <is>
          <t>Package total alone does not establish serving/application compliance. At least 10 applications would be needed for ≤10mg THC per application if THC were evenly apportioned.</t>
        </is>
      </c>
      <c r="V4" t="n">
        <v>10</v>
      </c>
      <c r="W4" t="inlineStr">
        <is>
          <t>100 mL</t>
        </is>
      </c>
    </row>
    <row r="5">
      <c r="A5" t="inlineStr">
        <is>
          <t>Ceres</t>
        </is>
      </c>
      <c r="B5" t="inlineStr">
        <is>
          <t>Soothe Cream</t>
        </is>
      </c>
      <c r="C5" t="inlineStr">
        <is>
          <t>Cream</t>
        </is>
      </c>
      <c r="D5" t="inlineStr">
        <is>
          <t>Pain Relief</t>
        </is>
      </c>
      <c r="E5" t="n">
        <v>100</v>
      </c>
      <c r="F5" t="n">
        <v>100</v>
      </c>
      <c r="H5" t="inlineStr">
        <is>
          <t>1:1</t>
        </is>
      </c>
      <c r="I5" t="inlineStr">
        <is>
          <t>50</t>
        </is>
      </c>
      <c r="J5" t="n">
        <v>22.99</v>
      </c>
      <c r="K5" s="14" t="inlineStr">
        <is>
          <t>Fast-absorbing cream that spreads easily across larger muscle groups without leaving heavy residue.</t>
        </is>
      </c>
      <c r="L5" t="inlineStr">
        <is>
          <t>Weight</t>
        </is>
      </c>
      <c r="M5" s="23" t="n">
        <v>3.4</v>
      </c>
      <c r="N5" t="inlineStr">
        <is>
          <t>oz</t>
        </is>
      </c>
      <c r="O5" s="23" t="n">
        <v>96.40000000000001</v>
      </c>
      <c r="P5" t="inlineStr">
        <is>
          <t>g</t>
        </is>
      </c>
      <c r="Q5" s="14" t="inlineStr">
        <is>
          <t>Estimated exact SKU; anchored to Ceres 3.4 oz lotion/squeeze formats</t>
        </is>
      </c>
      <c r="R5" s="14" t="inlineStr">
        <is>
          <t>https://seattle.betterhashtag.com/menus/topical</t>
        </is>
      </c>
      <c r="S5">
        <f>"Net Wt. "&amp;TEXT(M5,"0.##")&amp;" oz ("&amp;TEXT(O5,"0.#")&amp;" "&amp;P5&amp;")"</f>
        <v/>
      </c>
      <c r="T5" s="14" t="inlineStr">
        <is>
          <t>WA schema check: topical label must prominently display net weight in oz + g or volume as applicable. This catalog separates physical quantity from cannabinoid mg. Estimated quantities must be replaced by the licensed processor/POS label value for production use.</t>
        </is>
      </c>
      <c r="U5" s="14" t="inlineStr">
        <is>
          <t>Package total alone does not establish serving/application compliance. At least 10 applications would be needed for ≤10mg THC per application if THC were evenly apportioned.</t>
        </is>
      </c>
      <c r="V5" t="n">
        <v>10</v>
      </c>
      <c r="W5" t="inlineStr">
        <is>
          <t>50 mL</t>
        </is>
      </c>
    </row>
    <row r="6">
      <c r="A6" t="inlineStr">
        <is>
          <t>Ceres</t>
        </is>
      </c>
      <c r="B6" t="inlineStr">
        <is>
          <t>Recovery Gel</t>
        </is>
      </c>
      <c r="C6" t="inlineStr">
        <is>
          <t>Gel</t>
        </is>
      </c>
      <c r="D6" t="inlineStr">
        <is>
          <t>Recovery</t>
        </is>
      </c>
      <c r="E6" t="n">
        <v>100</v>
      </c>
      <c r="F6" t="n">
        <v>100</v>
      </c>
      <c r="H6" t="inlineStr">
        <is>
          <t>1:1</t>
        </is>
      </c>
      <c r="I6" t="inlineStr">
        <is>
          <t>60</t>
        </is>
      </c>
      <c r="J6" t="n">
        <v>24.99</v>
      </c>
      <c r="K6" s="14" t="inlineStr">
        <is>
          <t>Cooling gel formulated to refresh tired muscles after exercise or long days on your feet.</t>
        </is>
      </c>
      <c r="L6" t="inlineStr">
        <is>
          <t>Weight</t>
        </is>
      </c>
      <c r="M6" s="23" t="n">
        <v>3.4</v>
      </c>
      <c r="N6" t="inlineStr">
        <is>
          <t>oz</t>
        </is>
      </c>
      <c r="O6" s="23" t="n">
        <v>96.40000000000001</v>
      </c>
      <c r="P6" t="inlineStr">
        <is>
          <t>g</t>
        </is>
      </c>
      <c r="Q6" s="14" t="inlineStr">
        <is>
          <t>Estimated exact SKU; anchored to Ceres 3.4 oz topical gel/roller formats</t>
        </is>
      </c>
      <c r="R6" s="14" t="inlineStr">
        <is>
          <t>https://seattle.betterhashtag.com/menus/topical</t>
        </is>
      </c>
      <c r="S6">
        <f>"Net Wt. "&amp;TEXT(M6,"0.##")&amp;" oz ("&amp;TEXT(O6,"0.#")&amp;" "&amp;P6&amp;")"</f>
        <v/>
      </c>
      <c r="T6" s="14" t="inlineStr">
        <is>
          <t>WA schema check: topical label must prominently display net weight in oz + g or volume as applicable. This catalog separates physical quantity from cannabinoid mg. Estimated quantities must be replaced by the licensed processor/POS label value for production use.</t>
        </is>
      </c>
      <c r="U6" s="14" t="inlineStr">
        <is>
          <t>Package total alone does not establish serving/application compliance. At least 10 applications would be needed for ≤10mg THC per application if THC were evenly apportioned.</t>
        </is>
      </c>
      <c r="V6" t="n">
        <v>10</v>
      </c>
      <c r="W6" t="inlineStr">
        <is>
          <t>60 mL</t>
        </is>
      </c>
    </row>
    <row r="7">
      <c r="A7" t="inlineStr">
        <is>
          <t>Ceres</t>
        </is>
      </c>
      <c r="B7" t="inlineStr">
        <is>
          <t>Recovery Lotion</t>
        </is>
      </c>
      <c r="C7" t="inlineStr">
        <is>
          <t>Lotion</t>
        </is>
      </c>
      <c r="D7" t="inlineStr">
        <is>
          <t>Recovery</t>
        </is>
      </c>
      <c r="E7" t="n">
        <v>100</v>
      </c>
      <c r="F7" t="n">
        <v>100</v>
      </c>
      <c r="H7" t="inlineStr">
        <is>
          <t>1:1</t>
        </is>
      </c>
      <c r="I7" t="inlineStr">
        <is>
          <t>100</t>
        </is>
      </c>
      <c r="J7" t="n">
        <v>22.99</v>
      </c>
      <c r="K7" s="14" t="inlineStr">
        <is>
          <t>Daily body lotion that hydrates skin while helping restore comfort after activity.</t>
        </is>
      </c>
      <c r="L7" t="inlineStr">
        <is>
          <t>Weight</t>
        </is>
      </c>
      <c r="M7" s="23" t="n">
        <v>3.4</v>
      </c>
      <c r="N7" t="inlineStr">
        <is>
          <t>oz</t>
        </is>
      </c>
      <c r="O7" s="23" t="n">
        <v>96.40000000000001</v>
      </c>
      <c r="P7" t="inlineStr">
        <is>
          <t>g</t>
        </is>
      </c>
      <c r="Q7" s="14" t="inlineStr">
        <is>
          <t>Estimated exact SKU; anchored to Ceres 3.4 oz lotion format</t>
        </is>
      </c>
      <c r="R7" s="14" t="inlineStr">
        <is>
          <t>https://seattle.betterhashtag.com/menus/topical</t>
        </is>
      </c>
      <c r="S7">
        <f>"Net Wt. "&amp;TEXT(M7,"0.##")&amp;" oz ("&amp;TEXT(O7,"0.#")&amp;" "&amp;P7&amp;")"</f>
        <v/>
      </c>
      <c r="T7" s="14" t="inlineStr">
        <is>
          <t>WA schema check: topical label must prominently display net weight in oz + g or volume as applicable. This catalog separates physical quantity from cannabinoid mg. Estimated quantities must be replaced by the licensed processor/POS label value for production use.</t>
        </is>
      </c>
      <c r="U7" s="14" t="inlineStr">
        <is>
          <t>Package total alone does not establish serving/application compliance. At least 10 applications would be needed for ≤10mg THC per application if THC were evenly apportioned.</t>
        </is>
      </c>
      <c r="V7" t="n">
        <v>10</v>
      </c>
      <c r="W7" t="inlineStr">
        <is>
          <t>100 mL</t>
        </is>
      </c>
    </row>
    <row r="8">
      <c r="A8" t="inlineStr">
        <is>
          <t>Ceres</t>
        </is>
      </c>
      <c r="B8" t="inlineStr">
        <is>
          <t>Transdermal Patch</t>
        </is>
      </c>
      <c r="C8" t="inlineStr">
        <is>
          <t>Transdermal Patch</t>
        </is>
      </c>
      <c r="D8" t="inlineStr">
        <is>
          <t>Recovery</t>
        </is>
      </c>
      <c r="E8" t="n">
        <v>100</v>
      </c>
      <c r="F8" t="n">
        <v>100</v>
      </c>
      <c r="H8" t="inlineStr">
        <is>
          <t>1:1</t>
        </is>
      </c>
      <c r="I8" t="inlineStr">
        <is>
          <t>1 Patch</t>
        </is>
      </c>
      <c r="J8" t="n">
        <v>14.99</v>
      </c>
      <c r="K8" s="14" t="inlineStr">
        <is>
          <t>Discreet transdermal patch designed to deliver consistent localized cannabinoid support for hours.</t>
        </is>
      </c>
      <c r="L8" t="inlineStr">
        <is>
          <t>Weight</t>
        </is>
      </c>
      <c r="M8" s="23" t="n">
        <v>0.1</v>
      </c>
      <c r="N8" t="inlineStr">
        <is>
          <t>oz</t>
        </is>
      </c>
      <c r="O8" s="23" t="n">
        <v>2.8</v>
      </c>
      <c r="P8" t="inlineStr">
        <is>
          <t>g</t>
        </is>
      </c>
      <c r="Q8" s="14" t="inlineStr">
        <is>
          <t>Estimated — standardized single-patch package seed weight for catalog consistency</t>
        </is>
      </c>
      <c r="R8" s="14" t="str"/>
      <c r="S8">
        <f>"Net Wt. "&amp;TEXT(M8,"0.##")&amp;" oz ("&amp;TEXT(O8,"0.#")&amp;" g)"</f>
        <v/>
      </c>
      <c r="T8" s="14" t="inlineStr">
        <is>
          <t>WA schema check: topical label must prominently display net weight in oz + g or volume as applicable. This catalog separates physical quantity from cannabinoid mg. Estimated quantities must be replaced by the licensed processor/POS label value for production use.</t>
        </is>
      </c>
      <c r="U8" s="14" t="inlineStr">
        <is>
          <t>REVIEW REQUIRED: one listed patch contains more than 10mg THC. If one patch is one serving/application, this exceeds the general-use 10mg active Δ9-THC serving limit. Confirm licensed WA product classification/medical-compliant status before production use.</t>
        </is>
      </c>
      <c r="V8" t="n">
        <v>10</v>
      </c>
      <c r="W8" t="inlineStr">
        <is>
          <t>1 Patch</t>
        </is>
      </c>
    </row>
    <row r="9">
      <c r="A9" t="inlineStr">
        <is>
          <t>Ceres</t>
        </is>
      </c>
      <c r="B9" t="inlineStr">
        <is>
          <t>Recovery Soak</t>
        </is>
      </c>
      <c r="C9" t="inlineStr">
        <is>
          <t>Bath Soak</t>
        </is>
      </c>
      <c r="D9" t="inlineStr">
        <is>
          <t>Recovery</t>
        </is>
      </c>
      <c r="E9" t="n">
        <v>100</v>
      </c>
      <c r="F9" t="n">
        <v>100</v>
      </c>
      <c r="H9" t="inlineStr">
        <is>
          <t>1:1</t>
        </is>
      </c>
      <c r="I9" t="inlineStr">
        <is>
          <t>250</t>
        </is>
      </c>
      <c r="J9" t="n">
        <v>19.99</v>
      </c>
      <c r="K9" s="14" t="inlineStr">
        <is>
          <t>Mineral bath soak created to help relax the body after strenuous activity.</t>
        </is>
      </c>
      <c r="L9" t="inlineStr">
        <is>
          <t>Weight</t>
        </is>
      </c>
      <c r="M9" s="23" t="n">
        <v>4</v>
      </c>
      <c r="N9" t="inlineStr">
        <is>
          <t>oz</t>
        </is>
      </c>
      <c r="O9" s="23" t="n">
        <v>113.4</v>
      </c>
      <c r="P9" t="inlineStr">
        <is>
          <t>g</t>
        </is>
      </c>
      <c r="Q9" s="14" t="inlineStr">
        <is>
          <t>Researched comparable Ceres bath salts/soak format at 4 oz</t>
        </is>
      </c>
      <c r="R9" s="14" t="inlineStr">
        <is>
          <t>https://weedmaps.com/dispensaries/sea-change-cannabis-3/wellness/topicals</t>
        </is>
      </c>
      <c r="S9">
        <f>"Net Wt. "&amp;TEXT(M9,"0.##")&amp;" oz ("&amp;TEXT(O9,"0.#")&amp;" "&amp;P9&amp;")"</f>
        <v/>
      </c>
      <c r="T9" s="14" t="inlineStr">
        <is>
          <t>WA schema check: topical label must prominently display net weight in oz + g or volume as applicable. This catalog separates physical quantity from cannabinoid mg. Estimated quantities must be replaced by the licensed processor/POS label value for production use.</t>
        </is>
      </c>
      <c r="U9" s="14" t="inlineStr">
        <is>
          <t>Package total alone does not establish serving/application compliance. At least 10 applications would be needed for ≤10mg THC per application if THC were evenly apportioned.</t>
        </is>
      </c>
      <c r="V9" t="n">
        <v>10</v>
      </c>
      <c r="W9" t="inlineStr">
        <is>
          <t>250 mL</t>
        </is>
      </c>
    </row>
    <row r="10">
      <c r="A10" t="inlineStr">
        <is>
          <t>Fairwinds</t>
        </is>
      </c>
      <c r="B10" t="inlineStr">
        <is>
          <t>Flow Cream</t>
        </is>
      </c>
      <c r="C10" t="inlineStr">
        <is>
          <t>Cream</t>
        </is>
      </c>
      <c r="D10" t="inlineStr">
        <is>
          <t>Recovery</t>
        </is>
      </c>
      <c r="E10" t="n">
        <v>100</v>
      </c>
      <c r="F10" t="n">
        <v>100</v>
      </c>
      <c r="H10" t="inlineStr">
        <is>
          <t>1:1</t>
        </is>
      </c>
      <c r="I10" t="inlineStr">
        <is>
          <t>50</t>
        </is>
      </c>
      <c r="J10" t="n">
        <v>39.99</v>
      </c>
      <c r="K10" s="14" t="inlineStr">
        <is>
          <t>Fairwinds' signature cream with a smooth, fast-absorbing texture for everyday recovery.</t>
        </is>
      </c>
      <c r="L10" t="inlineStr">
        <is>
          <t>Volume</t>
        </is>
      </c>
      <c r="M10" s="23" t="n">
        <v>1.67</v>
      </c>
      <c r="N10" t="inlineStr">
        <is>
          <t>fl oz</t>
        </is>
      </c>
      <c r="O10" s="23" t="n">
        <v>50</v>
      </c>
      <c r="P10" t="inlineStr">
        <is>
          <t>mL</t>
        </is>
      </c>
      <c r="Q10" s="14" t="inlineStr">
        <is>
          <t>Researched — Fairwinds FLOW Cream listed as 1.67 oz / 50 mL</t>
        </is>
      </c>
      <c r="R10" s="14" t="inlineStr">
        <is>
          <t>https://fairwindscannabis.com/product/flow-cream/</t>
        </is>
      </c>
      <c r="S10">
        <f>"Net Vol. "&amp;TEXT(M10,"0.##")&amp;" fl oz ("&amp;TEXT(O10,"0.#")&amp;" "&amp;P10&amp;")"</f>
        <v/>
      </c>
      <c r="T10" s="14" t="inlineStr">
        <is>
          <t>WA schema check: topical label must prominently display net weight in oz + g or volume as applicable. This catalog separates physical quantity from cannabinoid mg. Estimated quantities must be replaced by the licensed processor/POS label value for production use.</t>
        </is>
      </c>
      <c r="U10" s="14" t="inlineStr">
        <is>
          <t>Package total alone does not establish serving/application compliance. At least 10 applications would be needed for ≤10mg THC per application if THC were evenly apportioned.</t>
        </is>
      </c>
      <c r="V10" t="n">
        <v>10</v>
      </c>
      <c r="W10" t="inlineStr">
        <is>
          <t>50 mL</t>
        </is>
      </c>
    </row>
    <row r="11">
      <c r="A11" t="inlineStr">
        <is>
          <t>Fairwinds</t>
        </is>
      </c>
      <c r="B11" t="inlineStr">
        <is>
          <t>Flow Roll-On</t>
        </is>
      </c>
      <c r="C11" t="inlineStr">
        <is>
          <t>Roll-On</t>
        </is>
      </c>
      <c r="D11" t="inlineStr">
        <is>
          <t>Cooling</t>
        </is>
      </c>
      <c r="E11" t="n">
        <v>0</v>
      </c>
      <c r="F11" t="n">
        <v>300</v>
      </c>
      <c r="H11" t="inlineStr">
        <is>
          <t>CBD</t>
        </is>
      </c>
      <c r="I11" t="inlineStr">
        <is>
          <t>100</t>
        </is>
      </c>
      <c r="J11" t="n">
        <v>34.99</v>
      </c>
      <c r="K11" s="14" t="inlineStr">
        <is>
          <t>Portable roll-on delivering an invigorating cooling sensation exactly where it's needed.</t>
        </is>
      </c>
      <c r="L11" t="inlineStr">
        <is>
          <t>Volume</t>
        </is>
      </c>
      <c r="M11" s="23" t="n">
        <v>3.4</v>
      </c>
      <c r="N11" t="inlineStr">
        <is>
          <t>fl oz</t>
        </is>
      </c>
      <c r="O11" s="23" t="n">
        <v>100</v>
      </c>
      <c r="P11" t="inlineStr">
        <is>
          <t>mL</t>
        </is>
      </c>
      <c r="Q11" s="14" t="inlineStr">
        <is>
          <t>Estimated — exact roll-on SKU not found; 100 mL roll-on seed value</t>
        </is>
      </c>
      <c r="R11" s="14" t="inlineStr">
        <is>
          <t>https://menu.fairwindsmanufacturing.com/</t>
        </is>
      </c>
      <c r="S11">
        <f>"Net Vol. "&amp;TEXT(M11,"0.##")&amp;" fl oz ("&amp;TEXT(O11,"0.#")&amp;" "&amp;P11&amp;")"</f>
        <v/>
      </c>
      <c r="T11" s="14" t="inlineStr">
        <is>
          <t>WA schema check: topical label must prominently display net weight in oz + g or volume as applicable. This catalog separates physical quantity from cannabinoid mg. Estimated quantities must be replaced by the licensed processor/POS label value for production use.</t>
        </is>
      </c>
      <c r="U11" s="14" t="inlineStr">
        <is>
          <t>No listed THC; 10mg THC serving limit not triggered by this catalog value</t>
        </is>
      </c>
      <c r="W11" t="inlineStr">
        <is>
          <t>100 mL</t>
        </is>
      </c>
    </row>
    <row r="12">
      <c r="A12" t="inlineStr">
        <is>
          <t>Fairwinds</t>
        </is>
      </c>
      <c r="B12" t="inlineStr">
        <is>
          <t>Flow Gel</t>
        </is>
      </c>
      <c r="C12" t="inlineStr">
        <is>
          <t>Gel</t>
        </is>
      </c>
      <c r="D12" t="inlineStr">
        <is>
          <t>Cooling</t>
        </is>
      </c>
      <c r="E12" t="n">
        <v>0</v>
      </c>
      <c r="F12" t="n">
        <v>300</v>
      </c>
      <c r="H12" t="inlineStr">
        <is>
          <t>CBD</t>
        </is>
      </c>
      <c r="I12" t="inlineStr">
        <is>
          <t>60</t>
        </is>
      </c>
      <c r="J12" t="n">
        <v>39.99</v>
      </c>
      <c r="K12" s="14" t="inlineStr">
        <is>
          <t>Lightweight cooling gel with a clean finish that won't feel sticky after application.</t>
        </is>
      </c>
      <c r="L12" t="inlineStr">
        <is>
          <t>Volume</t>
        </is>
      </c>
      <c r="M12" s="23" t="n">
        <v>1.67</v>
      </c>
      <c r="N12" t="inlineStr">
        <is>
          <t>fl oz</t>
        </is>
      </c>
      <c r="O12" s="23" t="n">
        <v>50</v>
      </c>
      <c r="P12" t="inlineStr">
        <is>
          <t>mL</t>
        </is>
      </c>
      <c r="Q12" s="14" t="inlineStr">
        <is>
          <t>Researched — Fairwinds FLOW Gel listed at 50 mL / 1.67 oz</t>
        </is>
      </c>
      <c r="R12" s="14" t="inlineStr">
        <is>
          <t>https://menu.fairwindsmanufacturing.com/</t>
        </is>
      </c>
      <c r="S12">
        <f>"Net Vol. "&amp;TEXT(M12,"0.##")&amp;" fl oz ("&amp;TEXT(O12,"0.#")&amp;" "&amp;P12&amp;")"</f>
        <v/>
      </c>
      <c r="T12" s="14" t="inlineStr">
        <is>
          <t>WA schema check: topical label must prominently display net weight in oz + g or volume as applicable. This catalog separates physical quantity from cannabinoid mg. Estimated quantities must be replaced by the licensed processor/POS label value for production use.</t>
        </is>
      </c>
      <c r="U12" s="14" t="inlineStr">
        <is>
          <t>No listed THC; 10mg THC serving limit not triggered by this catalog value</t>
        </is>
      </c>
      <c r="W12" t="inlineStr">
        <is>
          <t>60 mL</t>
        </is>
      </c>
    </row>
    <row r="13">
      <c r="A13" t="inlineStr">
        <is>
          <t>Fairwinds</t>
        </is>
      </c>
      <c r="B13" t="inlineStr">
        <is>
          <t>Flow Warm</t>
        </is>
      </c>
      <c r="C13" t="inlineStr">
        <is>
          <t>Cream</t>
        </is>
      </c>
      <c r="D13" t="inlineStr">
        <is>
          <t>Warming</t>
        </is>
      </c>
      <c r="E13" t="n">
        <v>100</v>
      </c>
      <c r="F13" t="n">
        <v>100</v>
      </c>
      <c r="H13" t="inlineStr">
        <is>
          <t>1:1</t>
        </is>
      </c>
      <c r="I13" t="inlineStr">
        <is>
          <t>50</t>
        </is>
      </c>
      <c r="J13" t="n">
        <v>39.99</v>
      </c>
      <c r="K13" s="14" t="inlineStr">
        <is>
          <t>Comforting topical cream that provides gentle warming relief for stiff muscles.</t>
        </is>
      </c>
      <c r="L13" t="inlineStr">
        <is>
          <t>Volume</t>
        </is>
      </c>
      <c r="M13" s="23" t="n">
        <v>1.67</v>
      </c>
      <c r="N13" t="inlineStr">
        <is>
          <t>fl oz</t>
        </is>
      </c>
      <c r="O13" s="23" t="n">
        <v>50</v>
      </c>
      <c r="P13" t="inlineStr">
        <is>
          <t>mL</t>
        </is>
      </c>
      <c r="Q13" s="14" t="inlineStr">
        <is>
          <t>Estimated exact SKU; uses Fairwinds FLOW cream/gel 50 mL format</t>
        </is>
      </c>
      <c r="R13" s="14" t="inlineStr">
        <is>
          <t>https://menu.fairwindsmanufacturing.com/</t>
        </is>
      </c>
      <c r="S13">
        <f>"Net Vol. "&amp;TEXT(M13,"0.##")&amp;" fl oz ("&amp;TEXT(O13,"0.#")&amp;" "&amp;P13&amp;")"</f>
        <v/>
      </c>
      <c r="T13" s="14" t="inlineStr">
        <is>
          <t>WA schema check: topical label must prominently display net weight in oz + g or volume as applicable. This catalog separates physical quantity from cannabinoid mg. Estimated quantities must be replaced by the licensed processor/POS label value for production use.</t>
        </is>
      </c>
      <c r="U13" s="14" t="inlineStr">
        <is>
          <t>Package total alone does not establish serving/application compliance. At least 10 applications would be needed for ≤10mg THC per application if THC were evenly apportioned.</t>
        </is>
      </c>
      <c r="V13" t="n">
        <v>10</v>
      </c>
      <c r="W13" t="inlineStr">
        <is>
          <t>50 mL</t>
        </is>
      </c>
    </row>
    <row r="14">
      <c r="A14" t="inlineStr">
        <is>
          <t>Fairwinds</t>
        </is>
      </c>
      <c r="B14" t="inlineStr">
        <is>
          <t>Flow Massage Oil</t>
        </is>
      </c>
      <c r="C14" t="inlineStr">
        <is>
          <t>Oil</t>
        </is>
      </c>
      <c r="D14" t="inlineStr">
        <is>
          <t>Massage</t>
        </is>
      </c>
      <c r="E14" t="n">
        <v>50</v>
      </c>
      <c r="F14" t="n">
        <v>150</v>
      </c>
      <c r="H14" t="inlineStr">
        <is>
          <t>1:3</t>
        </is>
      </c>
      <c r="I14" t="inlineStr">
        <is>
          <t>60</t>
        </is>
      </c>
      <c r="J14" t="n">
        <v>34.99</v>
      </c>
      <c r="K14" s="14" t="inlineStr">
        <is>
          <t>Silky massage oil with extended glide for professional or at-home massage.</t>
        </is>
      </c>
      <c r="L14" t="inlineStr">
        <is>
          <t>Volume</t>
        </is>
      </c>
      <c r="M14" s="23" t="n">
        <v>2</v>
      </c>
      <c r="N14" t="inlineStr">
        <is>
          <t>fl oz</t>
        </is>
      </c>
      <c r="O14" s="23" t="n">
        <v>59</v>
      </c>
      <c r="P14" t="inlineStr">
        <is>
          <t>mL</t>
        </is>
      </c>
      <c r="Q14" s="14" t="inlineStr">
        <is>
          <t>Estimated — common massage-oil package size</t>
        </is>
      </c>
      <c r="R14" s="14" t="inlineStr">
        <is>
          <t>https://menu.fairwindsmanufacturing.com/</t>
        </is>
      </c>
      <c r="S14">
        <f>"Net Vol. "&amp;TEXT(M14,"0.##")&amp;" fl oz ("&amp;TEXT(O14,"0.#")&amp;" "&amp;P14&amp;")"</f>
        <v/>
      </c>
      <c r="T14" s="14" t="inlineStr">
        <is>
          <t>WA schema check: topical label must prominently display net weight in oz + g or volume as applicable. This catalog separates physical quantity from cannabinoid mg. Estimated quantities must be replaced by the licensed processor/POS label value for production use.</t>
        </is>
      </c>
      <c r="U14" s="14" t="inlineStr">
        <is>
          <t>Package total alone does not establish serving/application compliance. At least 5 applications would be needed for ≤10mg THC per application if THC were evenly apportioned.</t>
        </is>
      </c>
      <c r="V14" t="n">
        <v>5</v>
      </c>
      <c r="W14" t="inlineStr">
        <is>
          <t>60 mL</t>
        </is>
      </c>
    </row>
    <row r="15">
      <c r="A15" t="inlineStr">
        <is>
          <t>Fairwinds</t>
        </is>
      </c>
      <c r="B15" t="inlineStr">
        <is>
          <t>Restore Lotion</t>
        </is>
      </c>
      <c r="C15" t="inlineStr">
        <is>
          <t>Lotion</t>
        </is>
      </c>
      <c r="D15" t="inlineStr">
        <is>
          <t>Skincare</t>
        </is>
      </c>
      <c r="E15" t="n">
        <v>0</v>
      </c>
      <c r="F15" t="n">
        <v>200</v>
      </c>
      <c r="G15" t="inlineStr">
        <is>
          <t>CBG 50mg</t>
        </is>
      </c>
      <c r="H15" t="inlineStr">
        <is>
          <t>CBD:CBG 4:1</t>
        </is>
      </c>
      <c r="I15" t="inlineStr">
        <is>
          <t>100</t>
        </is>
      </c>
      <c r="J15" t="n">
        <v>29.99</v>
      </c>
      <c r="K15" s="14" t="inlineStr">
        <is>
          <t>Lightweight moisturizer that nourishes dry skin without feeling oily.</t>
        </is>
      </c>
      <c r="L15" t="inlineStr">
        <is>
          <t>Volume</t>
        </is>
      </c>
      <c r="M15" s="23" t="n">
        <v>3.4</v>
      </c>
      <c r="N15" t="inlineStr">
        <is>
          <t>fl oz</t>
        </is>
      </c>
      <c r="O15" s="23" t="n">
        <v>100</v>
      </c>
      <c r="P15" t="inlineStr">
        <is>
          <t>mL</t>
        </is>
      </c>
      <c r="Q15" s="14" t="inlineStr">
        <is>
          <t>Estimated — 100 mL lotion seed value</t>
        </is>
      </c>
      <c r="R15" s="14" t="inlineStr">
        <is>
          <t>https://menu.fairwindsmanufacturing.com/</t>
        </is>
      </c>
      <c r="S15">
        <f>"Net Vol. "&amp;TEXT(M15,"0.##")&amp;" fl oz ("&amp;TEXT(O15,"0.#")&amp;" "&amp;P15&amp;")"</f>
        <v/>
      </c>
      <c r="T15" s="14" t="inlineStr">
        <is>
          <t>WA schema check: topical label must prominently display net weight in oz + g or volume as applicable. This catalog separates physical quantity from cannabinoid mg. Estimated quantities must be replaced by the licensed processor/POS label value for production use.</t>
        </is>
      </c>
      <c r="U15" s="14" t="inlineStr">
        <is>
          <t>No listed THC; 10mg THC serving limit not triggered by this catalog value</t>
        </is>
      </c>
      <c r="W15" t="inlineStr">
        <is>
          <t>100 mL</t>
        </is>
      </c>
    </row>
    <row r="16">
      <c r="A16" t="inlineStr">
        <is>
          <t>Green Revolution</t>
        </is>
      </c>
      <c r="B16" t="inlineStr">
        <is>
          <t>Muscle Melt</t>
        </is>
      </c>
      <c r="C16" t="inlineStr">
        <is>
          <t>Gel</t>
        </is>
      </c>
      <c r="D16" t="inlineStr">
        <is>
          <t>Recovery</t>
        </is>
      </c>
      <c r="E16" t="n">
        <v>100</v>
      </c>
      <c r="F16" t="n">
        <v>100</v>
      </c>
      <c r="H16" t="inlineStr">
        <is>
          <t>1:1</t>
        </is>
      </c>
      <c r="I16" t="inlineStr">
        <is>
          <t>60</t>
        </is>
      </c>
      <c r="J16" t="n">
        <v>29.99</v>
      </c>
      <c r="K16" s="14" t="inlineStr">
        <is>
          <t>Cooling topical developed to help refresh fatigued muscles following physical activity.</t>
        </is>
      </c>
      <c r="L16" t="inlineStr">
        <is>
          <t>Volume</t>
        </is>
      </c>
      <c r="M16" s="23" t="n">
        <v>2</v>
      </c>
      <c r="N16" t="inlineStr">
        <is>
          <t>fl oz</t>
        </is>
      </c>
      <c r="O16" s="23" t="n">
        <v>59</v>
      </c>
      <c r="P16" t="inlineStr">
        <is>
          <t>mL</t>
        </is>
      </c>
      <c r="Q16" s="14" t="inlineStr">
        <is>
          <t>Estimated — common topical gel package</t>
        </is>
      </c>
      <c r="R16" s="14" t="inlineStr">
        <is>
          <t>https://menu.fairwindsmanufacturing.com/</t>
        </is>
      </c>
      <c r="S16">
        <f>"Net Vol. "&amp;TEXT(M16,"0.##")&amp;" fl oz ("&amp;TEXT(O16,"0.#")&amp;" "&amp;P16&amp;")"</f>
        <v/>
      </c>
      <c r="T16" s="14" t="inlineStr">
        <is>
          <t>WA schema check: topical label must prominently display net weight in oz + g or volume as applicable. This catalog separates physical quantity from cannabinoid mg. Estimated quantities must be replaced by the licensed processor/POS label value for production use.</t>
        </is>
      </c>
      <c r="U16" s="14" t="inlineStr">
        <is>
          <t>Package total alone does not establish serving/application compliance. At least 10 applications would be needed for ≤10mg THC per application if THC were evenly apportioned.</t>
        </is>
      </c>
      <c r="V16" t="n">
        <v>10</v>
      </c>
      <c r="W16" t="inlineStr">
        <is>
          <t>60 mL</t>
        </is>
      </c>
    </row>
    <row r="17">
      <c r="A17" t="inlineStr">
        <is>
          <t>Green Revolution</t>
        </is>
      </c>
      <c r="B17" t="inlineStr">
        <is>
          <t>Restore Roll-On</t>
        </is>
      </c>
      <c r="C17" t="inlineStr">
        <is>
          <t>Roll-On</t>
        </is>
      </c>
      <c r="D17" t="inlineStr">
        <is>
          <t>Recovery</t>
        </is>
      </c>
      <c r="E17" t="n">
        <v>100</v>
      </c>
      <c r="F17" t="n">
        <v>100</v>
      </c>
      <c r="H17" t="inlineStr">
        <is>
          <t>1:1</t>
        </is>
      </c>
      <c r="I17" t="inlineStr">
        <is>
          <t>100</t>
        </is>
      </c>
      <c r="J17" t="n">
        <v>26.99</v>
      </c>
      <c r="K17" s="14" t="inlineStr">
        <is>
          <t>Convenient roll-on for quick application before or after exercise.</t>
        </is>
      </c>
      <c r="L17" t="inlineStr">
        <is>
          <t>Volume</t>
        </is>
      </c>
      <c r="M17" s="23" t="n">
        <v>3.4</v>
      </c>
      <c r="N17" t="inlineStr">
        <is>
          <t>fl oz</t>
        </is>
      </c>
      <c r="O17" s="23" t="n">
        <v>100</v>
      </c>
      <c r="P17" t="inlineStr">
        <is>
          <t>mL</t>
        </is>
      </c>
      <c r="Q17" s="14" t="inlineStr">
        <is>
          <t>Estimated — common 100 mL roll-on package</t>
        </is>
      </c>
      <c r="R17" s="14" t="inlineStr">
        <is>
          <t>https://seattle.betterhashtag.com/menus/topical</t>
        </is>
      </c>
      <c r="S17">
        <f>"Net Vol. "&amp;TEXT(M17,"0.##")&amp;" fl oz ("&amp;TEXT(O17,"0.#")&amp;" "&amp;P17&amp;")"</f>
        <v/>
      </c>
      <c r="T17" s="14" t="inlineStr">
        <is>
          <t>WA schema check: topical label must prominently display net weight in oz + g or volume as applicable. This catalog separates physical quantity from cannabinoid mg. Estimated quantities must be replaced by the licensed processor/POS label value for production use.</t>
        </is>
      </c>
      <c r="U17" s="14" t="inlineStr">
        <is>
          <t>Package total alone does not establish serving/application compliance. At least 10 applications would be needed for ≤10mg THC per application if THC were evenly apportioned.</t>
        </is>
      </c>
      <c r="V17" t="n">
        <v>10</v>
      </c>
      <c r="W17" t="inlineStr">
        <is>
          <t>100 mL</t>
        </is>
      </c>
    </row>
    <row r="18">
      <c r="A18" t="inlineStr">
        <is>
          <t>Green Revolution</t>
        </is>
      </c>
      <c r="B18" t="inlineStr">
        <is>
          <t>Solace Cream</t>
        </is>
      </c>
      <c r="C18" t="inlineStr">
        <is>
          <t>Cream</t>
        </is>
      </c>
      <c r="D18" t="inlineStr">
        <is>
          <t>Pain Relief</t>
        </is>
      </c>
      <c r="E18" t="n">
        <v>100</v>
      </c>
      <c r="F18" t="n">
        <v>100</v>
      </c>
      <c r="H18" t="inlineStr">
        <is>
          <t>1:1</t>
        </is>
      </c>
      <c r="I18" t="inlineStr">
        <is>
          <t>50</t>
        </is>
      </c>
      <c r="J18" t="n">
        <v>27.99</v>
      </c>
      <c r="K18" s="14" t="inlineStr">
        <is>
          <t>Smooth body cream designed for targeted comfort with a lightweight finish.</t>
        </is>
      </c>
      <c r="L18" t="inlineStr">
        <is>
          <t>Weight</t>
        </is>
      </c>
      <c r="M18" s="23" t="n">
        <v>2</v>
      </c>
      <c r="N18" t="inlineStr">
        <is>
          <t>oz</t>
        </is>
      </c>
      <c r="O18" s="23" t="n">
        <v>56.7</v>
      </c>
      <c r="P18" t="inlineStr">
        <is>
          <t>g</t>
        </is>
      </c>
      <c r="Q18" s="14" t="inlineStr">
        <is>
          <t>Estimated — common cannabis cream package</t>
        </is>
      </c>
      <c r="R18" s="14" t="inlineStr">
        <is>
          <t>https://weedmaps.com/brands/marys-medicinals/products/gear/topicals</t>
        </is>
      </c>
      <c r="S18">
        <f>"Net Wt. "&amp;TEXT(M18,"0.##")&amp;" oz ("&amp;TEXT(O18,"0.#")&amp;" "&amp;P18&amp;")"</f>
        <v/>
      </c>
      <c r="T18" s="14" t="inlineStr">
        <is>
          <t>WA schema check: topical label must prominently display net weight in oz + g or volume as applicable. This catalog separates physical quantity from cannabinoid mg. Estimated quantities must be replaced by the licensed processor/POS label value for production use.</t>
        </is>
      </c>
      <c r="U18" s="14" t="inlineStr">
        <is>
          <t>Package total alone does not establish serving/application compliance. At least 10 applications would be needed for ≤10mg THC per application if THC were evenly apportioned.</t>
        </is>
      </c>
      <c r="V18" t="n">
        <v>10</v>
      </c>
      <c r="W18" t="inlineStr">
        <is>
          <t>50 mL</t>
        </is>
      </c>
    </row>
    <row r="19">
      <c r="A19" t="inlineStr">
        <is>
          <t>Green Revolution</t>
        </is>
      </c>
      <c r="B19" t="inlineStr">
        <is>
          <t>Warm Balm</t>
        </is>
      </c>
      <c r="C19" t="inlineStr">
        <is>
          <t>Balm / Salve</t>
        </is>
      </c>
      <c r="D19" t="inlineStr">
        <is>
          <t>Warming</t>
        </is>
      </c>
      <c r="E19" t="n">
        <v>100</v>
      </c>
      <c r="F19" t="n">
        <v>100</v>
      </c>
      <c r="H19" t="inlineStr">
        <is>
          <t>1:1</t>
        </is>
      </c>
      <c r="I19" t="inlineStr">
        <is>
          <t>60</t>
        </is>
      </c>
      <c r="J19" t="n">
        <v>24.99</v>
      </c>
      <c r="K19" s="14" t="inlineStr">
        <is>
          <t>Dense botanical balm that melts into the skin while providing lasting warmth.</t>
        </is>
      </c>
      <c r="L19" t="inlineStr">
        <is>
          <t>Weight</t>
        </is>
      </c>
      <c r="M19" s="23" t="n">
        <v>2</v>
      </c>
      <c r="N19" t="inlineStr">
        <is>
          <t>oz</t>
        </is>
      </c>
      <c r="O19" s="23" t="n">
        <v>56.7</v>
      </c>
      <c r="P19" t="inlineStr">
        <is>
          <t>g</t>
        </is>
      </c>
      <c r="Q19" s="14" t="inlineStr">
        <is>
          <t>Estimated — standard topical balm/salve package</t>
        </is>
      </c>
      <c r="R19" s="14" t="inlineStr">
        <is>
          <t>https://seattle.betterhashtag.com/menus/topical</t>
        </is>
      </c>
      <c r="S19">
        <f>"Net Wt. "&amp;TEXT(M19,"0.##")&amp;" oz ("&amp;TEXT(O19,"0.#")&amp;" "&amp;P19&amp;")"</f>
        <v/>
      </c>
      <c r="T19" s="14" t="inlineStr">
        <is>
          <t>WA schema check: topical label must prominently display net weight in oz + g or volume as applicable. This catalog separates physical quantity from cannabinoid mg. Estimated quantities must be replaced by the licensed processor/POS label value for production use.</t>
        </is>
      </c>
      <c r="U19" s="14" t="inlineStr">
        <is>
          <t>Package total alone does not establish serving/application compliance. At least 10 applications would be needed for ≤10mg THC per application if THC were evenly apportioned.</t>
        </is>
      </c>
      <c r="V19" t="n">
        <v>10</v>
      </c>
      <c r="W19" t="inlineStr">
        <is>
          <t>60 mL</t>
        </is>
      </c>
    </row>
    <row r="20">
      <c r="A20" t="inlineStr">
        <is>
          <t>Green Revolution</t>
        </is>
      </c>
      <c r="B20" t="inlineStr">
        <is>
          <t>Cool Stick</t>
        </is>
      </c>
      <c r="C20" t="inlineStr">
        <is>
          <t>Stick</t>
        </is>
      </c>
      <c r="D20" t="inlineStr">
        <is>
          <t>Cooling</t>
        </is>
      </c>
      <c r="E20" t="n">
        <v>0</v>
      </c>
      <c r="F20" t="n">
        <v>300</v>
      </c>
      <c r="H20" t="inlineStr">
        <is>
          <t>CBD</t>
        </is>
      </c>
      <c r="I20" t="inlineStr">
        <is>
          <t>75</t>
        </is>
      </c>
      <c r="J20" t="n">
        <v>24.99</v>
      </c>
      <c r="K20" s="14" t="inlineStr">
        <is>
          <t>Pocket-sized cooling stick for quick touch-ups throughout the day.</t>
        </is>
      </c>
      <c r="L20" t="inlineStr">
        <is>
          <t>Weight</t>
        </is>
      </c>
      <c r="M20" s="23" t="n">
        <v>3</v>
      </c>
      <c r="N20" t="inlineStr">
        <is>
          <t>oz</t>
        </is>
      </c>
      <c r="O20" s="23" t="n">
        <v>85</v>
      </c>
      <c r="P20" t="inlineStr">
        <is>
          <t>g</t>
        </is>
      </c>
      <c r="Q20" s="14" t="inlineStr">
        <is>
          <t>Estimated — comparable topical stick package</t>
        </is>
      </c>
      <c r="R20" s="14" t="inlineStr">
        <is>
          <t>https://www.thereefstores.com/locations/bremerton/categories/topicals</t>
        </is>
      </c>
      <c r="S20">
        <f>"Net Wt. "&amp;TEXT(M20,"0.##")&amp;" oz ("&amp;TEXT(O20,"0.#")&amp;" "&amp;P20&amp;")"</f>
        <v/>
      </c>
      <c r="T20" s="14" t="inlineStr">
        <is>
          <t>WA schema check: topical label must prominently display net weight in oz + g or volume as applicable. This catalog separates physical quantity from cannabinoid mg. Estimated quantities must be replaced by the licensed processor/POS label value for production use.</t>
        </is>
      </c>
      <c r="U20" s="14" t="inlineStr">
        <is>
          <t>No listed THC; 10mg THC serving limit not triggered by this catalog value</t>
        </is>
      </c>
      <c r="W20" t="inlineStr">
        <is>
          <t>75 mL</t>
        </is>
      </c>
    </row>
    <row r="21">
      <c r="A21" t="inlineStr">
        <is>
          <t>Green Revolution</t>
        </is>
      </c>
      <c r="B21" t="inlineStr">
        <is>
          <t>Skin Restore</t>
        </is>
      </c>
      <c r="C21" t="inlineStr">
        <is>
          <t>Lotion</t>
        </is>
      </c>
      <c r="D21" t="inlineStr">
        <is>
          <t>Skincare</t>
        </is>
      </c>
      <c r="E21" t="n">
        <v>0</v>
      </c>
      <c r="F21" t="n">
        <v>200</v>
      </c>
      <c r="G21" t="inlineStr">
        <is>
          <t>CBG 50mg</t>
        </is>
      </c>
      <c r="H21" t="inlineStr">
        <is>
          <t>CBD:CBG 4:1</t>
        </is>
      </c>
      <c r="I21" t="inlineStr">
        <is>
          <t>100</t>
        </is>
      </c>
      <c r="J21" t="n">
        <v>26.99</v>
      </c>
      <c r="K21" s="14" t="inlineStr">
        <is>
          <t>Daily lotion formulated to soften and replenish dry skin.</t>
        </is>
      </c>
      <c r="L21" t="inlineStr">
        <is>
          <t>Volume</t>
        </is>
      </c>
      <c r="M21" s="23" t="n">
        <v>3.4</v>
      </c>
      <c r="N21" t="inlineStr">
        <is>
          <t>fl oz</t>
        </is>
      </c>
      <c r="O21" s="23" t="n">
        <v>100</v>
      </c>
      <c r="P21" t="inlineStr">
        <is>
          <t>mL</t>
        </is>
      </c>
      <c r="Q21" s="14" t="inlineStr">
        <is>
          <t>Estimated — common 100 mL lotion package</t>
        </is>
      </c>
      <c r="R21" s="14" t="inlineStr">
        <is>
          <t>https://seattle.betterhashtag.com/menus/topical</t>
        </is>
      </c>
      <c r="S21">
        <f>"Net Vol. "&amp;TEXT(M21,"0.##")&amp;" fl oz ("&amp;TEXT(O21,"0.#")&amp;" "&amp;P21&amp;")"</f>
        <v/>
      </c>
      <c r="T21" s="14" t="inlineStr">
        <is>
          <t>WA schema check: topical label must prominently display net weight in oz + g or volume as applicable. This catalog separates physical quantity from cannabinoid mg. Estimated quantities must be replaced by the licensed processor/POS label value for production use.</t>
        </is>
      </c>
      <c r="U21" s="14" t="inlineStr">
        <is>
          <t>No listed THC; 10mg THC serving limit not triggered by this catalog value</t>
        </is>
      </c>
      <c r="W21" t="inlineStr">
        <is>
          <t>100 mL</t>
        </is>
      </c>
    </row>
    <row r="22">
      <c r="A22" t="inlineStr">
        <is>
          <t>Mary's Medicinals</t>
        </is>
      </c>
      <c r="B22" t="inlineStr">
        <is>
          <t>Transdermal Patch</t>
        </is>
      </c>
      <c r="C22" t="inlineStr">
        <is>
          <t>Transdermal Patch</t>
        </is>
      </c>
      <c r="D22" t="inlineStr">
        <is>
          <t>Pain Relief</t>
        </is>
      </c>
      <c r="E22" t="n">
        <v>100</v>
      </c>
      <c r="F22" t="n">
        <v>100</v>
      </c>
      <c r="H22" t="inlineStr">
        <is>
          <t>1:1</t>
        </is>
      </c>
      <c r="I22" t="inlineStr">
        <is>
          <t>1 Patch</t>
        </is>
      </c>
      <c r="J22" t="n">
        <v>19.99</v>
      </c>
      <c r="K22" s="14" t="inlineStr">
        <is>
          <t>Extended-wear cannabinoid patch engineered for consistent localized delivery.</t>
        </is>
      </c>
      <c r="L22" t="inlineStr">
        <is>
          <t>Weight</t>
        </is>
      </c>
      <c r="M22" s="23" t="n">
        <v>0.1</v>
      </c>
      <c r="N22" t="inlineStr">
        <is>
          <t>oz</t>
        </is>
      </c>
      <c r="O22" s="23" t="n">
        <v>2.8</v>
      </c>
      <c r="P22" t="inlineStr">
        <is>
          <t>g</t>
        </is>
      </c>
      <c r="Q22" s="14" t="inlineStr">
        <is>
          <t>Estimated — standardized single-patch package seed weight for catalog consistency</t>
        </is>
      </c>
      <c r="R22" s="14" t="str"/>
      <c r="S22">
        <f>"Net Wt. "&amp;TEXT(M22,"0.##")&amp;" oz ("&amp;TEXT(O22,"0.#")&amp;" g)"</f>
        <v/>
      </c>
      <c r="T22" s="14" t="inlineStr">
        <is>
          <t>WA schema check: topical label must prominently display net weight in oz + g or volume as applicable. This catalog separates physical quantity from cannabinoid mg. Estimated quantities must be replaced by the licensed processor/POS label value for production use.</t>
        </is>
      </c>
      <c r="U22" s="14" t="inlineStr">
        <is>
          <t>REVIEW REQUIRED: one listed patch contains more than 10mg THC. If one patch is one serving/application, this exceeds the general-use 10mg active Δ9-THC serving limit. Confirm licensed WA product classification/medical-compliant status before production use.</t>
        </is>
      </c>
      <c r="V22" t="n">
        <v>10</v>
      </c>
      <c r="W22" t="inlineStr">
        <is>
          <t>1 Patch</t>
        </is>
      </c>
    </row>
    <row r="23">
      <c r="A23" t="inlineStr">
        <is>
          <t>Mary's Medicinals</t>
        </is>
      </c>
      <c r="B23" t="inlineStr">
        <is>
          <t>Relief Patch</t>
        </is>
      </c>
      <c r="C23" t="inlineStr">
        <is>
          <t>Transdermal Patch</t>
        </is>
      </c>
      <c r="D23" t="inlineStr">
        <is>
          <t>Recovery</t>
        </is>
      </c>
      <c r="E23" t="n">
        <v>100</v>
      </c>
      <c r="F23" t="n">
        <v>100</v>
      </c>
      <c r="H23" t="inlineStr">
        <is>
          <t>1:1</t>
        </is>
      </c>
      <c r="I23" t="inlineStr">
        <is>
          <t>1 Patch</t>
        </is>
      </c>
      <c r="J23" t="n">
        <v>19.99</v>
      </c>
      <c r="K23" s="14" t="inlineStr">
        <is>
          <t>Convenient transdermal patch providing all-day support without repeated application.</t>
        </is>
      </c>
      <c r="L23" t="inlineStr">
        <is>
          <t>Weight</t>
        </is>
      </c>
      <c r="M23" s="23" t="n">
        <v>0.1</v>
      </c>
      <c r="N23" t="inlineStr">
        <is>
          <t>oz</t>
        </is>
      </c>
      <c r="O23" s="23" t="n">
        <v>2.8</v>
      </c>
      <c r="P23" t="inlineStr">
        <is>
          <t>g</t>
        </is>
      </c>
      <c r="Q23" s="14" t="inlineStr">
        <is>
          <t>Estimated — standardized single-patch package seed weight for catalog consistency</t>
        </is>
      </c>
      <c r="R23" s="14" t="str"/>
      <c r="S23">
        <f>"Net Wt. "&amp;TEXT(M23,"0.##")&amp;" oz ("&amp;TEXT(O23,"0.#")&amp;" g)"</f>
        <v/>
      </c>
      <c r="T23" s="14" t="inlineStr">
        <is>
          <t>WA schema check: topical label must prominently display net weight in oz + g or volume as applicable. This catalog separates physical quantity from cannabinoid mg. Estimated quantities must be replaced by the licensed processor/POS label value for production use.</t>
        </is>
      </c>
      <c r="U23" s="14" t="inlineStr">
        <is>
          <t>REVIEW REQUIRED: one listed patch contains more than 10mg THC. If one patch is one serving/application, this exceeds the general-use 10mg active Δ9-THC serving limit. Confirm licensed WA product classification/medical-compliant status before production use.</t>
        </is>
      </c>
      <c r="V23" t="n">
        <v>10</v>
      </c>
      <c r="W23" t="inlineStr">
        <is>
          <t>1 Patch</t>
        </is>
      </c>
    </row>
    <row r="24">
      <c r="A24" t="inlineStr">
        <is>
          <t>Mary's Medicinals</t>
        </is>
      </c>
      <c r="B24" t="inlineStr">
        <is>
          <t>Compound Cream</t>
        </is>
      </c>
      <c r="C24" t="inlineStr">
        <is>
          <t>Cream</t>
        </is>
      </c>
      <c r="D24" t="inlineStr">
        <is>
          <t>Pain Relief</t>
        </is>
      </c>
      <c r="E24" t="n">
        <v>100</v>
      </c>
      <c r="F24" t="n">
        <v>100</v>
      </c>
      <c r="H24" t="inlineStr">
        <is>
          <t>1:1</t>
        </is>
      </c>
      <c r="I24" t="inlineStr">
        <is>
          <t>50</t>
        </is>
      </c>
      <c r="J24" t="n">
        <v>24.99</v>
      </c>
      <c r="K24" s="14" t="inlineStr">
        <is>
          <t>Rich topical cream formulated for dependable everyday use.</t>
        </is>
      </c>
      <c r="L24" t="inlineStr">
        <is>
          <t>Weight</t>
        </is>
      </c>
      <c r="M24" s="23" t="n">
        <v>2</v>
      </c>
      <c r="N24" t="inlineStr">
        <is>
          <t>oz</t>
        </is>
      </c>
      <c r="O24" s="23" t="n">
        <v>56.7</v>
      </c>
      <c r="P24" t="inlineStr">
        <is>
          <t>g</t>
        </is>
      </c>
      <c r="Q24" s="14" t="inlineStr">
        <is>
          <t>Estimated exact SKU; Mary's topical cream formats include 2 oz products</t>
        </is>
      </c>
      <c r="R24" s="14" t="inlineStr">
        <is>
          <t>https://weedmaps.com/brands/marys-medicinals/products/gear/topicals</t>
        </is>
      </c>
      <c r="S24">
        <f>"Net Wt. "&amp;TEXT(M24,"0.##")&amp;" oz ("&amp;TEXT(O24,"0.#")&amp;" "&amp;P24&amp;")"</f>
        <v/>
      </c>
      <c r="T24" s="14" t="inlineStr">
        <is>
          <t>WA schema check: topical label must prominently display net weight in oz + g or volume as applicable. This catalog separates physical quantity from cannabinoid mg. Estimated quantities must be replaced by the licensed processor/POS label value for production use.</t>
        </is>
      </c>
      <c r="U24" s="14" t="inlineStr">
        <is>
          <t>Package total alone does not establish serving/application compliance. At least 10 applications would be needed for ≤10mg THC per application if THC were evenly apportioned.</t>
        </is>
      </c>
      <c r="V24" t="n">
        <v>10</v>
      </c>
      <c r="W24" t="inlineStr">
        <is>
          <t>50 mL</t>
        </is>
      </c>
    </row>
    <row r="25">
      <c r="A25" t="inlineStr">
        <is>
          <t>Mary's Medicinals</t>
        </is>
      </c>
      <c r="B25" t="inlineStr">
        <is>
          <t>Massage Lotion</t>
        </is>
      </c>
      <c r="C25" t="inlineStr">
        <is>
          <t>Lotion</t>
        </is>
      </c>
      <c r="D25" t="inlineStr">
        <is>
          <t>Massage</t>
        </is>
      </c>
      <c r="E25" t="n">
        <v>50</v>
      </c>
      <c r="F25" t="n">
        <v>150</v>
      </c>
      <c r="H25" t="inlineStr">
        <is>
          <t>1:3</t>
        </is>
      </c>
      <c r="I25" t="inlineStr">
        <is>
          <t>100</t>
        </is>
      </c>
      <c r="J25" t="n">
        <v>22.99</v>
      </c>
      <c r="K25" s="14" t="inlineStr">
        <is>
          <t>Smooth lotion with excellent glide for full-body massage.</t>
        </is>
      </c>
      <c r="L25" t="inlineStr">
        <is>
          <t>Volume</t>
        </is>
      </c>
      <c r="M25" s="23" t="n">
        <v>2</v>
      </c>
      <c r="N25" t="inlineStr">
        <is>
          <t>fl oz</t>
        </is>
      </c>
      <c r="O25" s="23" t="n">
        <v>59</v>
      </c>
      <c r="P25" t="inlineStr">
        <is>
          <t>mL</t>
        </is>
      </c>
      <c r="Q25" s="14" t="inlineStr">
        <is>
          <t>Estimated — exact lotion SKU not found; 2 fl oz seed value</t>
        </is>
      </c>
      <c r="R25" s="14" t="inlineStr">
        <is>
          <t>https://weedmaps.com/brands/marys-medicinals/products/gear/topicals</t>
        </is>
      </c>
      <c r="S25">
        <f>"Net Vol. "&amp;TEXT(M25,"0.##")&amp;" fl oz ("&amp;TEXT(O25,"0.#")&amp;" "&amp;P25&amp;")"</f>
        <v/>
      </c>
      <c r="T25" s="14" t="inlineStr">
        <is>
          <t>WA schema check: topical label must prominently display net weight in oz + g or volume as applicable. This catalog separates physical quantity from cannabinoid mg. Estimated quantities must be replaced by the licensed processor/POS label value for production use.</t>
        </is>
      </c>
      <c r="U25" s="14" t="inlineStr">
        <is>
          <t>Package total alone does not establish serving/application compliance. At least 5 applications would be needed for ≤10mg THC per application if THC were evenly apportioned.</t>
        </is>
      </c>
      <c r="V25" t="n">
        <v>5</v>
      </c>
      <c r="W25" t="inlineStr">
        <is>
          <t>100 mL</t>
        </is>
      </c>
    </row>
    <row r="26">
      <c r="A26" t="inlineStr">
        <is>
          <t>Mary's Medicinals</t>
        </is>
      </c>
      <c r="B26" t="inlineStr">
        <is>
          <t>Skin Cream</t>
        </is>
      </c>
      <c r="C26" t="inlineStr">
        <is>
          <t>Cream</t>
        </is>
      </c>
      <c r="D26" t="inlineStr">
        <is>
          <t>Skincare</t>
        </is>
      </c>
      <c r="E26" t="n">
        <v>0</v>
      </c>
      <c r="F26" t="n">
        <v>200</v>
      </c>
      <c r="G26" t="inlineStr">
        <is>
          <t>CBG 50mg</t>
        </is>
      </c>
      <c r="H26" t="inlineStr">
        <is>
          <t>CBD:CBG 4:1</t>
        </is>
      </c>
      <c r="I26" t="inlineStr">
        <is>
          <t>50</t>
        </is>
      </c>
      <c r="J26" t="n">
        <v>22.99</v>
      </c>
      <c r="K26" s="14" t="inlineStr">
        <is>
          <t>Gentle moisturizing cream that leaves skin feeling soft and refreshed.</t>
        </is>
      </c>
      <c r="L26" t="inlineStr">
        <is>
          <t>Weight</t>
        </is>
      </c>
      <c r="M26" s="23" t="n">
        <v>2</v>
      </c>
      <c r="N26" t="inlineStr">
        <is>
          <t>oz</t>
        </is>
      </c>
      <c r="O26" s="23" t="n">
        <v>56.7</v>
      </c>
      <c r="P26" t="inlineStr">
        <is>
          <t>g</t>
        </is>
      </c>
      <c r="Q26" s="14" t="inlineStr">
        <is>
          <t>Estimated exact SKU; Mary's topical cream formats include 2 oz products</t>
        </is>
      </c>
      <c r="R26" s="14" t="inlineStr">
        <is>
          <t>https://weedmaps.com/brands/marys-medicinals/products/gear/topicals</t>
        </is>
      </c>
      <c r="S26">
        <f>"Net Wt. "&amp;TEXT(M26,"0.##")&amp;" oz ("&amp;TEXT(O26,"0.#")&amp;" "&amp;P26&amp;")"</f>
        <v/>
      </c>
      <c r="T26" s="14" t="inlineStr">
        <is>
          <t>WA schema check: topical label must prominently display net weight in oz + g or volume as applicable. This catalog separates physical quantity from cannabinoid mg. Estimated quantities must be replaced by the licensed processor/POS label value for production use.</t>
        </is>
      </c>
      <c r="U26" s="14" t="inlineStr">
        <is>
          <t>No listed THC; 10mg THC serving limit not triggered by this catalog value</t>
        </is>
      </c>
      <c r="W26" t="inlineStr">
        <is>
          <t>50 mL</t>
        </is>
      </c>
    </row>
    <row r="27">
      <c r="A27" t="inlineStr">
        <is>
          <t>Double Delicious</t>
        </is>
      </c>
      <c r="B27" t="inlineStr">
        <is>
          <t>Cooling Roll-On</t>
        </is>
      </c>
      <c r="C27" t="inlineStr">
        <is>
          <t>Roll-On</t>
        </is>
      </c>
      <c r="D27" t="inlineStr">
        <is>
          <t>Cooling</t>
        </is>
      </c>
      <c r="E27" t="n">
        <v>0</v>
      </c>
      <c r="F27" t="n">
        <v>300</v>
      </c>
      <c r="H27" t="inlineStr">
        <is>
          <t>CBD</t>
        </is>
      </c>
      <c r="I27" t="inlineStr">
        <is>
          <t>100</t>
        </is>
      </c>
      <c r="J27" t="n">
        <v>16.99</v>
      </c>
      <c r="K27" s="14" t="inlineStr">
        <is>
          <t>Refreshing roller with an easy-glide applicator for targeted cooling comfort.</t>
        </is>
      </c>
      <c r="L27" t="inlineStr">
        <is>
          <t>Volume</t>
        </is>
      </c>
      <c r="M27" s="23" t="n">
        <v>3.4</v>
      </c>
      <c r="N27" t="inlineStr">
        <is>
          <t>fl oz</t>
        </is>
      </c>
      <c r="O27" s="23" t="n">
        <v>100</v>
      </c>
      <c r="P27" t="inlineStr">
        <is>
          <t>mL</t>
        </is>
      </c>
      <c r="Q27" s="14" t="inlineStr">
        <is>
          <t>Estimated — common 100 mL roll-on package</t>
        </is>
      </c>
      <c r="R27" s="14" t="inlineStr">
        <is>
          <t>https://seattle.betterhashtag.com/menus/topical</t>
        </is>
      </c>
      <c r="S27">
        <f>"Net Vol. "&amp;TEXT(M27,"0.##")&amp;" fl oz ("&amp;TEXT(O27,"0.#")&amp;" "&amp;P27&amp;")"</f>
        <v/>
      </c>
      <c r="T27" s="14" t="inlineStr">
        <is>
          <t>WA schema check: topical label must prominently display net weight in oz + g or volume as applicable. This catalog separates physical quantity from cannabinoid mg. Estimated quantities must be replaced by the licensed processor/POS label value for production use.</t>
        </is>
      </c>
      <c r="U27" s="14" t="inlineStr">
        <is>
          <t>No listed THC; 10mg THC serving limit not triggered by this catalog value</t>
        </is>
      </c>
      <c r="W27" t="inlineStr">
        <is>
          <t>100 mL</t>
        </is>
      </c>
    </row>
    <row r="28">
      <c r="A28" t="inlineStr">
        <is>
          <t>Double Delicious</t>
        </is>
      </c>
      <c r="B28" t="inlineStr">
        <is>
          <t>Relief Salve</t>
        </is>
      </c>
      <c r="C28" t="inlineStr">
        <is>
          <t>Balm / Salve</t>
        </is>
      </c>
      <c r="D28" t="inlineStr">
        <is>
          <t>Pain Relief</t>
        </is>
      </c>
      <c r="E28" t="n">
        <v>100</v>
      </c>
      <c r="F28" t="n">
        <v>100</v>
      </c>
      <c r="H28" t="inlineStr">
        <is>
          <t>1:1</t>
        </is>
      </c>
      <c r="I28" t="inlineStr">
        <is>
          <t>60</t>
        </is>
      </c>
      <c r="J28" t="n">
        <v>17.99</v>
      </c>
      <c r="K28" s="14" t="inlineStr">
        <is>
          <t>Traditional salve with a thick consistency that stays where it's applied.</t>
        </is>
      </c>
      <c r="L28" t="inlineStr">
        <is>
          <t>Weight</t>
        </is>
      </c>
      <c r="M28" s="23" t="n">
        <v>2</v>
      </c>
      <c r="N28" t="inlineStr">
        <is>
          <t>oz</t>
        </is>
      </c>
      <c r="O28" s="23" t="n">
        <v>56.7</v>
      </c>
      <c r="P28" t="inlineStr">
        <is>
          <t>g</t>
        </is>
      </c>
      <c r="Q28" s="14" t="inlineStr">
        <is>
          <t>Estimated — standard topical balm/salve package</t>
        </is>
      </c>
      <c r="R28" s="14" t="inlineStr">
        <is>
          <t>https://seattle.betterhashtag.com/menus/topical</t>
        </is>
      </c>
      <c r="S28">
        <f>"Net Wt. "&amp;TEXT(M28,"0.##")&amp;" oz ("&amp;TEXT(O28,"0.#")&amp;" "&amp;P28&amp;")"</f>
        <v/>
      </c>
      <c r="T28" s="14" t="inlineStr">
        <is>
          <t>WA schema check: topical label must prominently display net weight in oz + g or volume as applicable. This catalog separates physical quantity from cannabinoid mg. Estimated quantities must be replaced by the licensed processor/POS label value for production use.</t>
        </is>
      </c>
      <c r="U28" s="14" t="inlineStr">
        <is>
          <t>Package total alone does not establish serving/application compliance. At least 10 applications would be needed for ≤10mg THC per application if THC were evenly apportioned.</t>
        </is>
      </c>
      <c r="V28" t="n">
        <v>10</v>
      </c>
      <c r="W28" t="inlineStr">
        <is>
          <t>60 mL</t>
        </is>
      </c>
    </row>
    <row r="29">
      <c r="A29" t="inlineStr">
        <is>
          <t>Double Delicious</t>
        </is>
      </c>
      <c r="B29" t="inlineStr">
        <is>
          <t>Warm Cream</t>
        </is>
      </c>
      <c r="C29" t="inlineStr">
        <is>
          <t>Cream</t>
        </is>
      </c>
      <c r="D29" t="inlineStr">
        <is>
          <t>Warming</t>
        </is>
      </c>
      <c r="E29" t="n">
        <v>100</v>
      </c>
      <c r="F29" t="n">
        <v>100</v>
      </c>
      <c r="H29" t="inlineStr">
        <is>
          <t>1:1</t>
        </is>
      </c>
      <c r="I29" t="inlineStr">
        <is>
          <t>50</t>
        </is>
      </c>
      <c r="J29" t="n">
        <v>17.99</v>
      </c>
      <c r="K29" s="14" t="inlineStr">
        <is>
          <t>Cream formulated to provide a comfortable warming sensation after application.</t>
        </is>
      </c>
      <c r="L29" t="inlineStr">
        <is>
          <t>Weight</t>
        </is>
      </c>
      <c r="M29" s="23" t="n">
        <v>2</v>
      </c>
      <c r="N29" t="inlineStr">
        <is>
          <t>oz</t>
        </is>
      </c>
      <c r="O29" s="23" t="n">
        <v>56.7</v>
      </c>
      <c r="P29" t="inlineStr">
        <is>
          <t>g</t>
        </is>
      </c>
      <c r="Q29" s="14" t="inlineStr">
        <is>
          <t>Estimated — common cannabis cream package</t>
        </is>
      </c>
      <c r="R29" s="14" t="inlineStr">
        <is>
          <t>https://weedmaps.com/brands/marys-medicinals/products/gear/topicals</t>
        </is>
      </c>
      <c r="S29">
        <f>"Net Wt. "&amp;TEXT(M29,"0.##")&amp;" oz ("&amp;TEXT(O29,"0.#")&amp;" "&amp;P29&amp;")"</f>
        <v/>
      </c>
      <c r="T29" s="14" t="inlineStr">
        <is>
          <t>WA schema check: topical label must prominently display net weight in oz + g or volume as applicable. This catalog separates physical quantity from cannabinoid mg. Estimated quantities must be replaced by the licensed processor/POS label value for production use.</t>
        </is>
      </c>
      <c r="U29" s="14" t="inlineStr">
        <is>
          <t>Package total alone does not establish serving/application compliance. At least 10 applications would be needed for ≤10mg THC per application if THC were evenly apportioned.</t>
        </is>
      </c>
      <c r="V29" t="n">
        <v>10</v>
      </c>
      <c r="W29" t="inlineStr">
        <is>
          <t>50 mL</t>
        </is>
      </c>
    </row>
    <row r="30">
      <c r="A30" t="inlineStr">
        <is>
          <t>Double Delicious</t>
        </is>
      </c>
      <c r="B30" t="inlineStr">
        <is>
          <t>Massage Oil</t>
        </is>
      </c>
      <c r="C30" t="inlineStr">
        <is>
          <t>Oil</t>
        </is>
      </c>
      <c r="D30" t="inlineStr">
        <is>
          <t>Massage</t>
        </is>
      </c>
      <c r="E30" t="n">
        <v>50</v>
      </c>
      <c r="F30" t="n">
        <v>150</v>
      </c>
      <c r="H30" t="inlineStr">
        <is>
          <t>1:3</t>
        </is>
      </c>
      <c r="I30" t="inlineStr">
        <is>
          <t>60</t>
        </is>
      </c>
      <c r="J30" t="n">
        <v>18.99</v>
      </c>
      <c r="K30" s="14" t="inlineStr">
        <is>
          <t>Light massage oil offering a smooth glide and nourishing finish.</t>
        </is>
      </c>
      <c r="L30" t="inlineStr">
        <is>
          <t>Volume</t>
        </is>
      </c>
      <c r="M30" s="23" t="n">
        <v>2</v>
      </c>
      <c r="N30" t="inlineStr">
        <is>
          <t>fl oz</t>
        </is>
      </c>
      <c r="O30" s="23" t="n">
        <v>59</v>
      </c>
      <c r="P30" t="inlineStr">
        <is>
          <t>mL</t>
        </is>
      </c>
      <c r="Q30" s="14" t="inlineStr">
        <is>
          <t>Estimated — common topical/massage oil package</t>
        </is>
      </c>
      <c r="R30" s="14" t="inlineStr">
        <is>
          <t>https://thebakereeseattle.com/menu/topical</t>
        </is>
      </c>
      <c r="S30">
        <f>"Net Vol. "&amp;TEXT(M30,"0.##")&amp;" fl oz ("&amp;TEXT(O30,"0.#")&amp;" "&amp;P30&amp;")"</f>
        <v/>
      </c>
      <c r="T30" s="14" t="inlineStr">
        <is>
          <t>WA schema check: topical label must prominently display net weight in oz + g or volume as applicable. This catalog separates physical quantity from cannabinoid mg. Estimated quantities must be replaced by the licensed processor/POS label value for production use.</t>
        </is>
      </c>
      <c r="U30" s="14" t="inlineStr">
        <is>
          <t>Package total alone does not establish serving/application compliance. At least 5 applications would be needed for ≤10mg THC per application if THC were evenly apportioned.</t>
        </is>
      </c>
      <c r="V30" t="n">
        <v>5</v>
      </c>
      <c r="W30" t="inlineStr">
        <is>
          <t>60 mL</t>
        </is>
      </c>
    </row>
    <row r="31">
      <c r="A31" t="inlineStr">
        <is>
          <t>Agro Couture</t>
        </is>
      </c>
      <c r="B31" t="inlineStr">
        <is>
          <t>Topical Drops</t>
        </is>
      </c>
      <c r="C31" t="inlineStr">
        <is>
          <t>Oil</t>
        </is>
      </c>
      <c r="D31" t="inlineStr">
        <is>
          <t>Massage</t>
        </is>
      </c>
      <c r="E31" t="n">
        <v>50</v>
      </c>
      <c r="F31" t="n">
        <v>150</v>
      </c>
      <c r="H31" t="inlineStr">
        <is>
          <t>1:3</t>
        </is>
      </c>
      <c r="I31" t="inlineStr">
        <is>
          <t>60</t>
        </is>
      </c>
      <c r="J31" t="n">
        <v>19.99</v>
      </c>
      <c r="K31" s="14" t="inlineStr">
        <is>
          <t>Versatile infused body oil suitable for massage or targeted application.</t>
        </is>
      </c>
      <c r="L31" t="inlineStr">
        <is>
          <t>Volume</t>
        </is>
      </c>
      <c r="M31" s="23" t="n">
        <v>1.7</v>
      </c>
      <c r="N31" t="inlineStr">
        <is>
          <t>fl oz</t>
        </is>
      </c>
      <c r="O31" s="23" t="n">
        <v>50</v>
      </c>
      <c r="P31" t="inlineStr">
        <is>
          <t>mL</t>
        </is>
      </c>
      <c r="Q31" s="14" t="inlineStr">
        <is>
          <t>Researched — Agro Couture topical infusion drops listed at 1.7 oz / 50 mL</t>
        </is>
      </c>
      <c r="R31" s="14" t="inlineStr">
        <is>
          <t>https://thebakereeseattle.com/menu/topical</t>
        </is>
      </c>
      <c r="S31">
        <f>"Net Vol. "&amp;TEXT(M31,"0.##")&amp;" fl oz ("&amp;TEXT(O31,"0.#")&amp;" "&amp;P31&amp;")"</f>
        <v/>
      </c>
      <c r="T31" s="14" t="inlineStr">
        <is>
          <t>WA schema check: topical label must prominently display net weight in oz + g or volume as applicable. This catalog separates physical quantity from cannabinoid mg. Estimated quantities must be replaced by the licensed processor/POS label value for production use.</t>
        </is>
      </c>
      <c r="U31" s="14" t="inlineStr">
        <is>
          <t>Package total alone does not establish serving/application compliance. At least 5 applications would be needed for ≤10mg THC per application if THC were evenly apportioned.</t>
        </is>
      </c>
      <c r="V31" t="n">
        <v>5</v>
      </c>
      <c r="W31" t="inlineStr">
        <is>
          <t>60 mL</t>
        </is>
      </c>
    </row>
    <row r="32">
      <c r="A32" t="inlineStr">
        <is>
          <t>Agro Couture</t>
        </is>
      </c>
      <c r="B32" t="inlineStr">
        <is>
          <t>Repair Cream</t>
        </is>
      </c>
      <c r="C32" t="inlineStr">
        <is>
          <t>Cream</t>
        </is>
      </c>
      <c r="D32" t="inlineStr">
        <is>
          <t>Skincare</t>
        </is>
      </c>
      <c r="E32" t="n">
        <v>0</v>
      </c>
      <c r="F32" t="n">
        <v>200</v>
      </c>
      <c r="G32" t="inlineStr">
        <is>
          <t>CBG 50mg</t>
        </is>
      </c>
      <c r="H32" t="inlineStr">
        <is>
          <t>CBD:CBG 4:1</t>
        </is>
      </c>
      <c r="I32" t="inlineStr">
        <is>
          <t>50</t>
        </is>
      </c>
      <c r="J32" t="n">
        <v>19.99</v>
      </c>
      <c r="K32" s="14" t="inlineStr">
        <is>
          <t>Rich botanical cream created to hydrate and comfort dry, tired skin.</t>
        </is>
      </c>
      <c r="L32" t="inlineStr">
        <is>
          <t>Weight</t>
        </is>
      </c>
      <c r="M32" s="23" t="n">
        <v>2</v>
      </c>
      <c r="N32" t="inlineStr">
        <is>
          <t>oz</t>
        </is>
      </c>
      <c r="O32" s="23" t="n">
        <v>56.7</v>
      </c>
      <c r="P32" t="inlineStr">
        <is>
          <t>g</t>
        </is>
      </c>
      <c r="Q32" s="14" t="inlineStr">
        <is>
          <t>Estimated — common cannabis cream package</t>
        </is>
      </c>
      <c r="R32" s="14" t="inlineStr">
        <is>
          <t>https://weedmaps.com/brands/marys-medicinals/products/gear/topicals</t>
        </is>
      </c>
      <c r="S32">
        <f>"Net Wt. "&amp;TEXT(M32,"0.##")&amp;" oz ("&amp;TEXT(O32,"0.#")&amp;" "&amp;P32&amp;")"</f>
        <v/>
      </c>
      <c r="T32" s="14" t="inlineStr">
        <is>
          <t>WA schema check: topical label must prominently display net weight in oz + g or volume as applicable. This catalog separates physical quantity from cannabinoid mg. Estimated quantities must be replaced by the licensed processor/POS label value for production use.</t>
        </is>
      </c>
      <c r="U32" s="14" t="inlineStr">
        <is>
          <t>No listed THC; 10mg THC serving limit not triggered by this catalog value</t>
        </is>
      </c>
      <c r="W32" t="inlineStr">
        <is>
          <t>50 mL</t>
        </is>
      </c>
    </row>
    <row r="33">
      <c r="A33" t="inlineStr">
        <is>
          <t>Agro Couture</t>
        </is>
      </c>
      <c r="B33" t="inlineStr">
        <is>
          <t>Cooling Gel</t>
        </is>
      </c>
      <c r="C33" t="inlineStr">
        <is>
          <t>Gel</t>
        </is>
      </c>
      <c r="D33" t="inlineStr">
        <is>
          <t>Cooling</t>
        </is>
      </c>
      <c r="E33" t="n">
        <v>0</v>
      </c>
      <c r="F33" t="n">
        <v>300</v>
      </c>
      <c r="H33" t="inlineStr">
        <is>
          <t>CBD</t>
        </is>
      </c>
      <c r="I33" t="inlineStr">
        <is>
          <t>60</t>
        </is>
      </c>
      <c r="J33" t="n">
        <v>18.99</v>
      </c>
      <c r="K33" s="14" t="inlineStr">
        <is>
          <t>Fast-drying cooling gel for refreshing relief after activity.</t>
        </is>
      </c>
      <c r="L33" t="inlineStr">
        <is>
          <t>Volume</t>
        </is>
      </c>
      <c r="M33" s="23" t="n">
        <v>2</v>
      </c>
      <c r="N33" t="inlineStr">
        <is>
          <t>fl oz</t>
        </is>
      </c>
      <c r="O33" s="23" t="n">
        <v>59</v>
      </c>
      <c r="P33" t="inlineStr">
        <is>
          <t>mL</t>
        </is>
      </c>
      <c r="Q33" s="14" t="inlineStr">
        <is>
          <t>Estimated — common topical gel package</t>
        </is>
      </c>
      <c r="R33" s="14" t="inlineStr">
        <is>
          <t>https://menu.fairwindsmanufacturing.com/</t>
        </is>
      </c>
      <c r="S33">
        <f>"Net Vol. "&amp;TEXT(M33,"0.##")&amp;" fl oz ("&amp;TEXT(O33,"0.#")&amp;" "&amp;P33&amp;")"</f>
        <v/>
      </c>
      <c r="T33" s="14" t="inlineStr">
        <is>
          <t>WA schema check: topical label must prominently display net weight in oz + g or volume as applicable. This catalog separates physical quantity from cannabinoid mg. Estimated quantities must be replaced by the licensed processor/POS label value for production use.</t>
        </is>
      </c>
      <c r="U33" s="14" t="inlineStr">
        <is>
          <t>No listed THC; 10mg THC serving limit not triggered by this catalog value</t>
        </is>
      </c>
      <c r="W33" t="inlineStr">
        <is>
          <t>60 mL</t>
        </is>
      </c>
    </row>
    <row r="34">
      <c r="A34" t="inlineStr">
        <is>
          <t>Heylo</t>
        </is>
      </c>
      <c r="B34" t="inlineStr">
        <is>
          <t>Heylotion</t>
        </is>
      </c>
      <c r="C34" t="inlineStr">
        <is>
          <t>Lotion</t>
        </is>
      </c>
      <c r="D34" t="inlineStr">
        <is>
          <t>Recovery</t>
        </is>
      </c>
      <c r="E34" t="n">
        <v>100</v>
      </c>
      <c r="F34" t="n">
        <v>100</v>
      </c>
      <c r="H34" t="inlineStr">
        <is>
          <t>1:1</t>
        </is>
      </c>
      <c r="I34" t="inlineStr">
        <is>
          <t>100</t>
        </is>
      </c>
      <c r="J34" t="n">
        <v>19.99</v>
      </c>
      <c r="K34" s="14" t="inlineStr">
        <is>
          <t>Everyday body lotion combining lightweight hydration with post-activity comfort.</t>
        </is>
      </c>
      <c r="L34" t="inlineStr">
        <is>
          <t>Weight</t>
        </is>
      </c>
      <c r="M34" s="23" t="n">
        <v>1</v>
      </c>
      <c r="N34" t="inlineStr">
        <is>
          <t>oz</t>
        </is>
      </c>
      <c r="O34" s="23" t="n">
        <v>28.35</v>
      </c>
      <c r="P34" t="inlineStr">
        <is>
          <t>g</t>
        </is>
      </c>
      <c r="Q34" s="14" t="inlineStr">
        <is>
          <t>Researched — WA retailer lists Heylotion at 1 oz</t>
        </is>
      </c>
      <c r="R34" s="14" t="inlineStr">
        <is>
          <t>https://seattle.betterhashtag.com/menus/topical</t>
        </is>
      </c>
      <c r="S34">
        <f>"Net Wt. "&amp;TEXT(M34,"0.##")&amp;" oz ("&amp;TEXT(O34,"0.#")&amp;" "&amp;P34&amp;")"</f>
        <v/>
      </c>
      <c r="T34" s="14" t="inlineStr">
        <is>
          <t>WA schema check: topical label must prominently display net weight in oz + g or volume as applicable. This catalog separates physical quantity from cannabinoid mg. Estimated quantities must be replaced by the licensed processor/POS label value for production use.</t>
        </is>
      </c>
      <c r="U34" s="14" t="inlineStr">
        <is>
          <t>Package total alone does not establish serving/application compliance. At least 10 applications would be needed for ≤10mg THC per application if THC were evenly apportioned.</t>
        </is>
      </c>
      <c r="V34" t="n">
        <v>10</v>
      </c>
      <c r="W34" t="inlineStr">
        <is>
          <t>100 mL</t>
        </is>
      </c>
    </row>
    <row r="35">
      <c r="A35" t="inlineStr">
        <is>
          <t>Heylo</t>
        </is>
      </c>
      <c r="B35" t="inlineStr">
        <is>
          <t>Heat Roll-On</t>
        </is>
      </c>
      <c r="C35" t="inlineStr">
        <is>
          <t>Roll-On</t>
        </is>
      </c>
      <c r="D35" t="inlineStr">
        <is>
          <t>Warming</t>
        </is>
      </c>
      <c r="E35" t="n">
        <v>100</v>
      </c>
      <c r="F35" t="n">
        <v>100</v>
      </c>
      <c r="H35" t="inlineStr">
        <is>
          <t>1:1</t>
        </is>
      </c>
      <c r="I35" t="inlineStr">
        <is>
          <t>100</t>
        </is>
      </c>
      <c r="J35" t="n">
        <v>19.99</v>
      </c>
      <c r="K35" s="14" t="inlineStr">
        <is>
          <t>Targeted warming roll-on with a smooth, easy-glide applicator.</t>
        </is>
      </c>
      <c r="L35" t="inlineStr">
        <is>
          <t>Volume</t>
        </is>
      </c>
      <c r="M35" s="23" t="n">
        <v>3.4</v>
      </c>
      <c r="N35" t="inlineStr">
        <is>
          <t>fl oz</t>
        </is>
      </c>
      <c r="O35" s="23" t="n">
        <v>100</v>
      </c>
      <c r="P35" t="inlineStr">
        <is>
          <t>mL</t>
        </is>
      </c>
      <c r="Q35" s="14" t="inlineStr">
        <is>
          <t>Estimated — common 100 mL roll-on package</t>
        </is>
      </c>
      <c r="R35" s="14" t="inlineStr">
        <is>
          <t>https://seattle.betterhashtag.com/menus/topical</t>
        </is>
      </c>
      <c r="S35">
        <f>"Net Vol. "&amp;TEXT(M35,"0.##")&amp;" fl oz ("&amp;TEXT(O35,"0.#")&amp;" "&amp;P35&amp;")"</f>
        <v/>
      </c>
      <c r="T35" s="14" t="inlineStr">
        <is>
          <t>WA schema check: topical label must prominently display net weight in oz + g or volume as applicable. This catalog separates physical quantity from cannabinoid mg. Estimated quantities must be replaced by the licensed processor/POS label value for production use.</t>
        </is>
      </c>
      <c r="U35" s="14" t="inlineStr">
        <is>
          <t>Package total alone does not establish serving/application compliance. At least 10 applications would be needed for ≤10mg THC per application if THC were evenly apportioned.</t>
        </is>
      </c>
      <c r="V35" t="n">
        <v>10</v>
      </c>
      <c r="W35" t="inlineStr">
        <is>
          <t>100 mL</t>
        </is>
      </c>
    </row>
    <row r="36">
      <c r="A36" t="inlineStr">
        <is>
          <t>Heylo</t>
        </is>
      </c>
      <c r="B36" t="inlineStr">
        <is>
          <t>O Lube</t>
        </is>
      </c>
      <c r="C36" t="inlineStr">
        <is>
          <t>Lubricant</t>
        </is>
      </c>
      <c r="D36" t="inlineStr">
        <is>
          <t>Intimacy</t>
        </is>
      </c>
      <c r="E36" t="n">
        <v>50</v>
      </c>
      <c r="F36" t="n">
        <v>50</v>
      </c>
      <c r="H36" t="inlineStr">
        <is>
          <t>1:1</t>
        </is>
      </c>
      <c r="I36" t="inlineStr">
        <is>
          <t>100</t>
        </is>
      </c>
      <c r="J36" t="n">
        <v>44.99</v>
      </c>
      <c r="K36" s="14" t="inlineStr">
        <is>
          <t>Water-based intimate lubricant formulated for a smooth feel, easy cleanup, and long-lasting comfort.</t>
        </is>
      </c>
      <c r="L36" t="inlineStr">
        <is>
          <t>Weight</t>
        </is>
      </c>
      <c r="M36" s="23" t="n">
        <v>0.5</v>
      </c>
      <c r="N36" t="inlineStr">
        <is>
          <t>oz</t>
        </is>
      </c>
      <c r="O36" s="23" t="n">
        <v>14.2</v>
      </c>
      <c r="P36" t="inlineStr">
        <is>
          <t>g</t>
        </is>
      </c>
      <c r="Q36" s="14" t="inlineStr">
        <is>
          <t>Researched comparable Heylo Louder Lube WA listing at 0.5 oz</t>
        </is>
      </c>
      <c r="R36" s="14" t="inlineStr">
        <is>
          <t>https://www.thereefstores.com/locations/bremerton/categories/topicals</t>
        </is>
      </c>
      <c r="S36">
        <f>"Net Wt. "&amp;TEXT(M36,"0.##")&amp;" oz ("&amp;TEXT(O36,"0.#")&amp;" "&amp;P36&amp;")"</f>
        <v/>
      </c>
      <c r="T36" s="14" t="inlineStr">
        <is>
          <t>WA schema check: topical label must prominently display net weight in oz + g or volume as applicable. This catalog separates physical quantity from cannabinoid mg. Estimated quantities must be replaced by the licensed processor/POS label value for production use.</t>
        </is>
      </c>
      <c r="U36" s="14" t="inlineStr">
        <is>
          <t>Package total alone does not establish serving/application compliance. At least 5 applications would be needed for ≤10mg THC per application if THC were evenly apportioned.</t>
        </is>
      </c>
      <c r="V36" t="n">
        <v>5</v>
      </c>
      <c r="W36" t="inlineStr">
        <is>
          <t>100 mL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8" customWidth="1" style="16" min="1" max="1"/>
    <col width="100" customWidth="1" style="16" min="2" max="2"/>
  </cols>
  <sheetData>
    <row r="1">
      <c r="A1" s="6" t="inlineStr">
        <is>
          <t>Topic</t>
        </is>
      </c>
      <c r="B1" s="6" t="inlineStr">
        <is>
          <t>Notes / Source</t>
        </is>
      </c>
    </row>
    <row r="2">
      <c r="A2" s="14" t="inlineStr">
        <is>
          <t>Method</t>
        </is>
      </c>
      <c r="B2" s="14" t="inlineStr">
        <is>
          <t>Exact/brand-supported WA quantities were used when found. Synthetic or unsupported exact SKUs are explicitly marked Estimated in the product sheet.</t>
        </is>
      </c>
    </row>
    <row r="3">
      <c r="A3" s="14" t="inlineStr">
        <is>
          <t>Ceres topicals</t>
        </is>
      </c>
      <c r="B3" s="14" t="inlineStr">
        <is>
          <t>https://seattle.betterhashtag.com/menus/topical</t>
        </is>
      </c>
    </row>
    <row r="4">
      <c r="A4" s="14" t="inlineStr">
        <is>
          <t>Fairwinds FLOW</t>
        </is>
      </c>
      <c r="B4" s="14" t="inlineStr">
        <is>
          <t>https://fairwindscannabis.com/product/flow-cream/</t>
        </is>
      </c>
    </row>
    <row r="5">
      <c r="A5" s="14" t="inlineStr">
        <is>
          <t>Fairwinds catalog</t>
        </is>
      </c>
      <c r="B5" s="14" t="inlineStr">
        <is>
          <t>https://menu.fairwindsmanufacturing.com/</t>
        </is>
      </c>
    </row>
    <row r="6">
      <c r="A6" s="14" t="inlineStr">
        <is>
          <t>Mary's patches</t>
        </is>
      </c>
      <c r="B6" s="14" t="inlineStr">
        <is>
          <t>https://marysmedicinals.com/product/transdermal-patch-cbd-thc/</t>
        </is>
      </c>
    </row>
    <row r="7">
      <c r="A7" s="14" t="inlineStr">
        <is>
          <t>Mary's topicals</t>
        </is>
      </c>
      <c r="B7" s="14" t="inlineStr">
        <is>
          <t>https://weedmaps.com/brands/marys-medicinals/products/gear/topicals</t>
        </is>
      </c>
    </row>
    <row r="8">
      <c r="A8" s="14" t="inlineStr">
        <is>
          <t>Agro Couture topical drops</t>
        </is>
      </c>
      <c r="B8" s="14" t="inlineStr">
        <is>
          <t>https://thebakereeseattle.com/menu/topical</t>
        </is>
      </c>
    </row>
    <row r="9">
      <c r="A9" s="14" t="inlineStr">
        <is>
          <t>Heylo WA retail examples</t>
        </is>
      </c>
      <c r="B9" s="14" t="inlineStr">
        <is>
          <t>https://www.thereefstores.com/locations/bremerton/categories/topicals</t>
        </is>
      </c>
    </row>
    <row r="10">
      <c r="A10" s="14" t="inlineStr">
        <is>
          <t>Production rule</t>
        </is>
      </c>
      <c r="B10" s="14" t="inlineStr">
        <is>
          <t>Licensed processor/POS net quantity should override any estimated catalog seed value.</t>
        </is>
      </c>
    </row>
    <row r="12">
      <c r="A12" s="14" t="inlineStr">
        <is>
          <t>Patch quantity convention</t>
        </is>
      </c>
      <c r="B12" s="14" t="inlineStr">
        <is>
          <t>All single transdermal patch SKUs in this seed catalog use an estimated standardized net weight of 0.10 oz (2.8 g), while retaining '1 Patch' as count metadata.</t>
        </is>
      </c>
    </row>
    <row r="13">
      <c r="A13" s="14" t="inlineStr">
        <is>
          <t>Production override</t>
        </is>
      </c>
      <c r="B13" s="14" t="inlineStr">
        <is>
          <t>Replace the estimated patch weight with the licensed processor/POS net quantity whenever real inventory data is available.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6" customWidth="1" style="16" min="1" max="1"/>
    <col width="22" customWidth="1" style="16" min="2" max="2"/>
    <col width="78" customWidth="1" style="16" min="3" max="3"/>
    <col width="62" customWidth="1" style="16" min="4" max="4"/>
  </cols>
  <sheetData>
    <row r="1">
      <c r="A1" s="21" t="inlineStr">
        <is>
          <t>Check</t>
        </is>
      </c>
      <c r="B1" s="21" t="inlineStr">
        <is>
          <t>Status</t>
        </is>
      </c>
      <c r="C1" s="21" t="inlineStr">
        <is>
          <t>Washington Standard</t>
        </is>
      </c>
      <c r="D1" s="21" t="inlineStr">
        <is>
          <t>Source</t>
        </is>
      </c>
    </row>
    <row r="2">
      <c r="A2" s="14" t="inlineStr">
        <is>
          <t>Net quantity</t>
        </is>
      </c>
      <c r="B2" s="14" t="inlineStr">
        <is>
          <t>Pass after unit correction</t>
        </is>
      </c>
      <c r="C2" s="14" t="inlineStr">
        <is>
          <t>Topical label must prominently display net weight in ounces and grams or volume as applicable.</t>
        </is>
      </c>
      <c r="D2" s="14" t="inlineStr">
        <is>
          <t>https://app.leg.wa.gov/wac/default.aspx?cite=314-55-105</t>
        </is>
      </c>
    </row>
    <row r="3">
      <c r="A3" s="14" t="inlineStr">
        <is>
          <t>Liquid units</t>
        </is>
      </c>
      <c r="B3" s="14" t="inlineStr">
        <is>
          <t>Corrected</t>
        </is>
      </c>
      <c r="C3" s="14" t="inlineStr">
        <is>
          <t>Volume-based U.S. customary declaration uses fluid measure; catalog now uses fl oz for volume rows.</t>
        </is>
      </c>
      <c r="D3" s="14" t="inlineStr">
        <is>
          <t>https://www.nist.gov/system/files/documents/2017/05/09/HB130-2016-wfinal2.pdf</t>
        </is>
      </c>
    </row>
    <row r="4">
      <c r="A4" s="14" t="inlineStr">
        <is>
          <t>Physical vs cannabinoid amount</t>
        </is>
      </c>
      <c r="B4" s="14" t="inlineStr">
        <is>
          <t>Pass (schema)</t>
        </is>
      </c>
      <c r="C4" s="14" t="inlineStr">
        <is>
          <t>Net quantity is separate from Total THC / Total CBD information.</t>
        </is>
      </c>
      <c r="D4" s="14" t="inlineStr">
        <is>
          <t>https://app.leg.wa.gov/wac/default.aspx?cite=314-55-105</t>
        </is>
      </c>
    </row>
    <row r="5">
      <c r="A5" s="14" t="inlineStr">
        <is>
          <t>Transaction limit</t>
        </is>
      </c>
      <c r="B5" s="14" t="inlineStr">
        <is>
          <t>Reference only</t>
        </is>
      </c>
      <c r="C5" s="14" t="inlineStr">
        <is>
          <t>Adult-use transaction limit includes 72 oz of liquid cannabis-infused product applied topically, subject to the rule's exceptions.</t>
        </is>
      </c>
      <c r="D5" s="14" t="inlineStr">
        <is>
          <t>https://app.leg.wa.gov/wac/default.aspx?cite=314-55-095</t>
        </is>
      </c>
    </row>
    <row r="6">
      <c r="A6" s="14" t="inlineStr">
        <is>
          <t>Exact SKU quantity</t>
        </is>
      </c>
      <c r="B6" s="14" t="inlineStr">
        <is>
          <t>Conditional</t>
        </is>
      </c>
      <c r="C6" s="14" t="inlineStr">
        <is>
          <t>Estimated weights/volumes are suitable only as seed catalog data; licensed processor/POS label quantity controls for actual sale.</t>
        </is>
      </c>
      <c r="D6" s="14" t="inlineStr">
        <is>
          <t>https://app.leg.wa.gov/wac/default.aspx?cite=16-662-105</t>
        </is>
      </c>
    </row>
    <row r="7">
      <c r="A7" s="14" t="inlineStr">
        <is>
          <t>THC serving/application</t>
        </is>
      </c>
      <c r="B7" s="14" t="inlineStr">
        <is>
          <t>Not fully auditable</t>
        </is>
      </c>
      <c r="C7" s="14" t="inlineStr">
        <is>
          <t>A single serving of a cannabis-infused product may not exceed 10 mg active delta-9 THC; package total alone does not define topical application size.</t>
        </is>
      </c>
      <c r="D7" s="14" t="inlineStr">
        <is>
          <t>https://app.leg.wa.gov/wac/default.aspx?cite=314-55-095</t>
        </is>
      </c>
    </row>
    <row r="8">
      <c r="A8" s="14" t="inlineStr">
        <is>
          <t>Single-patch rows</t>
        </is>
      </c>
      <c r="B8" s="14" t="inlineStr">
        <is>
          <t>Review required</t>
        </is>
      </c>
      <c r="C8" s="14" t="inlineStr">
        <is>
          <t>A one-patch SKU above 10 mg THC needs verification of its Washington licensed classification / applicable compliant-medical framework before being treated as general-use compliant.</t>
        </is>
      </c>
      <c r="D8" s="14" t="inlineStr">
        <is>
          <t>https://app.leg.wa.gov/wac/default.aspx?cite=314-55-095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2026-09-22T19:28:12Z</dcterms:created>
  <dcterms:modified xsi:type="dcterms:W3CDTF">2026-09-22T19:28:12Z</dcterms:modified>
</cp:coreProperties>
</file>