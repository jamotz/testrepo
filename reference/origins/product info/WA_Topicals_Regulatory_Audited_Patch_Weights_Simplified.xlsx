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cf09e1e8724d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picals_IA" sheetId="1" r:id="R7b407723004f4fdd"/>
    <x:sheet xmlns:r="http://schemas.openxmlformats.org/officeDocument/2006/relationships" name="Topical_Products" sheetId="2" r:id="Rdc8d81da574f4c28"/>
    <x:sheet xmlns:r="http://schemas.openxmlformats.org/officeDocument/2006/relationships" name="Quantity Notes" sheetId="3" r:id="Rb8269b760ba74e6e"/>
    <x:sheet xmlns:r="http://schemas.openxmlformats.org/officeDocument/2006/relationships" name="Regulatory Audit" sheetId="4" r:id="R9d495ff8f3864f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4F6F52"/>
      </x:patternFill>
    </x:fill>
    <x:fill>
      <x:patternFill patternType="solid">
        <x:fgColor rgb="FF4F6F52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a72a48614e4363" /><Relationship Type="http://schemas.openxmlformats.org/officeDocument/2006/relationships/theme" Target="/xl/theme/theme1.xml" Id="R53fc277205a74199" /><Relationship Type="http://schemas.openxmlformats.org/officeDocument/2006/relationships/sharedStrings" Target="/xl/sharedStrings.xml" Id="R8c25f65a4020466c" /><Relationship Type="http://schemas.openxmlformats.org/officeDocument/2006/relationships/worksheet" Target="/xl/worksheets/sheet1.xml" Id="R7b407723004f4fdd" /><Relationship Type="http://schemas.openxmlformats.org/officeDocument/2006/relationships/worksheet" Target="/xl/worksheets/sheet2.xml" Id="Rdc8d81da574f4c28" /><Relationship Type="http://schemas.openxmlformats.org/officeDocument/2006/relationships/worksheet" Target="/xl/worksheets/sheet3.xml" Id="Rb8269b760ba74e6e" /><Relationship Type="http://schemas.openxmlformats.org/officeDocument/2006/relationships/worksheet" Target="/xl/worksheets/sheet4.xml" Id="R9d495ff8f3864f8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Effect</x:t>
        </x:is>
      </x:c>
      <x:c r="B1" t="inlineStr">
        <x:is>
          <x:t xml:space="preserve">Available Product Types</x:t>
        </x:is>
      </x:c>
    </x:row>
    <x:row r="2">
      <x:c r="A2" t="inlineStr">
        <x:is>
          <x:t xml:space="preserve">Pain Relief</x:t>
        </x:is>
      </x:c>
      <x:c r="B2" t="inlineStr">
        <x:is>
          <x:t xml:space="preserve">Cream, Balm / Salve, Roll-On, Stick, Gel, Lotion, Oil, Transdermal Patch</x:t>
        </x:is>
      </x:c>
    </x:row>
    <x:row r="3">
      <x:c r="A3" t="inlineStr">
        <x:is>
          <x:t xml:space="preserve">Recovery</x:t>
        </x:is>
      </x:c>
      <x:c r="B3" t="inlineStr">
        <x:is>
          <x:t xml:space="preserve">Cream, Balm / Salve, Roll-On, Stick, Gel, Lotion, Oil, Transdermal Patch, Bath Soak</x:t>
        </x:is>
      </x:c>
    </x:row>
    <x:row r="4">
      <x:c r="A4" t="inlineStr">
        <x:is>
          <x:t xml:space="preserve">Cooling</x:t>
        </x:is>
      </x:c>
      <x:c r="B4" t="inlineStr">
        <x:is>
          <x:t xml:space="preserve">Gel, Roll-On, Cream, Stick</x:t>
        </x:is>
      </x:c>
    </x:row>
    <x:row r="5">
      <x:c r="A5" t="inlineStr">
        <x:is>
          <x:t xml:space="preserve">Warming</x:t>
        </x:is>
      </x:c>
      <x:c r="B5" t="inlineStr">
        <x:is>
          <x:t xml:space="preserve">Cream, Balm / Salve, Roll-On, Transdermal Patch</x:t>
        </x:is>
      </x:c>
    </x:row>
    <x:row r="6">
      <x:c r="A6" t="inlineStr">
        <x:is>
          <x:t xml:space="preserve">Massage</x:t>
        </x:is>
      </x:c>
      <x:c r="B6" t="inlineStr">
        <x:is>
          <x:t xml:space="preserve">Oil, Lotion, Cream</x:t>
        </x:is>
      </x:c>
    </x:row>
    <x:row r="7">
      <x:c r="A7" t="inlineStr">
        <x:is>
          <x:t xml:space="preserve">Skincare</x:t>
        </x:is>
      </x:c>
      <x:c r="B7" t="inlineStr">
        <x:is>
          <x:t xml:space="preserve">Cream, Lotion, Oil, Balm / Salve</x:t>
        </x:is>
      </x:c>
    </x:row>
    <x:row r="8">
      <x:c r="A8" t="inlineStr">
        <x:is>
          <x:t xml:space="preserve">Intimacy</x:t>
        </x:is>
      </x:c>
      <x:c r="B8" t="inlineStr">
        <x:is>
          <x:t xml:space="preserve">Lubricant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9" max="9" width="18" hidden="0" customWidth="1"/>
    <x:col min="12" max="12" width="15" hidden="0" customWidth="1"/>
    <x:col min="13" max="13" width="16" hidden="0" customWidth="1"/>
    <x:col min="14" max="14" width="11" hidden="0" customWidth="1"/>
    <x:col min="15" max="15" width="19" hidden="0" customWidth="1"/>
    <x:col min="16" max="16" width="12" hidden="0" customWidth="1"/>
    <x:col min="17" max="17" width="50" hidden="0" customWidth="1"/>
    <x:col min="18" max="18" width="58" hidden="0" customWidth="1"/>
    <x:col min="1" max="1" width="20" hidden="0" customWidth="1"/>
    <x:col min="2" max="2" width="24" hidden="0" customWidth="1"/>
    <x:col min="3" max="3" width="20" hidden="0" customWidth="1"/>
    <x:col min="4" max="4" width="16" hidden="0" customWidth="1"/>
    <x:col min="5" max="5" width="12" hidden="0" customWidth="1"/>
    <x:col min="6" max="6" width="12" hidden="0" customWidth="1"/>
    <x:col min="7" max="7" width="20" hidden="0" customWidth="1"/>
    <x:col min="8" max="8" width="14" hidden="0" customWidth="1"/>
    <x:col min="10" max="10" width="14" hidden="0" customWidth="1"/>
    <x:col min="11" max="11" width="52" hidden="0" customWidth="1"/>
    <x:col min="19" max="19" width="30" hidden="0" customWidth="1"/>
    <x:col min="20" max="20" width="64" hidden="0" customWidth="1"/>
    <x:col min="21" max="21" width="74" hidden="0" customWidth="1"/>
    <x:col min="22" max="22" width="24" hidden="0" customWidth="1"/>
  </x:cols>
  <x:sheetData>
    <x:row r="1">
      <x:c r="A1" t="inlineStr">
        <x:is>
          <x:t xml:space="preserve">Brand</x:t>
        </x:is>
      </x:c>
      <x:c r="B1" t="inlineStr">
        <x:is>
          <x:t xml:space="preserve">Product Name</x:t>
        </x:is>
      </x:c>
      <x:c r="C1" t="inlineStr">
        <x:is>
          <x:t xml:space="preserve">Product Type</x:t>
        </x:is>
      </x:c>
      <x:c r="D1" t="inlineStr">
        <x:is>
          <x:t xml:space="preserve">Effect</x:t>
        </x:is>
      </x:c>
      <x:c r="E1" t="inlineStr">
        <x:is>
          <x:t xml:space="preserve">THC (mg)</x:t>
        </x:is>
      </x:c>
      <x:c r="F1" t="inlineStr">
        <x:is>
          <x:t xml:space="preserve">CBD (mg)</x:t>
        </x:is>
      </x:c>
      <x:c r="G1" t="inlineStr">
        <x:is>
          <x:t xml:space="preserve">Other Cannabinoids</x:t>
        </x:is>
      </x:c>
      <x:c r="H1" t="inlineStr">
        <x:is>
          <x:t xml:space="preserve">Ratio</x:t>
        </x:is>
      </x:c>
      <x:c r="I1" t="str">
        <x:v>Original Size Entry</x:v>
      </x:c>
      <x:c r="J1" t="inlineStr">
        <x:is>
          <x:t xml:space="preserve">MSRP (USD)</x:t>
        </x:is>
      </x:c>
      <x:c r="K1" t="inlineStr">
        <x:is>
          <x:t xml:space="preserve">Description</x:t>
        </x:is>
      </x:c>
      <x:c r="L1" s="6" t="str">
        <x:v>Net Qty Basis</x:v>
      </x:c>
      <x:c r="M1" s="6" t="str">
        <x:v>Net Amount (US)</x:v>
      </x:c>
      <x:c r="N1" s="6" t="str">
        <x:v>US Unit</x:v>
      </x:c>
      <x:c r="O1" s="6" t="str">
        <x:v>Net Amount (Metric)</x:v>
      </x:c>
      <x:c r="P1" s="6" t="str">
        <x:v>Metric Unit</x:v>
      </x:c>
      <x:c r="Q1" s="6" t="str">
        <x:v>Qty Confidence / Basis</x:v>
      </x:c>
      <x:c r="R1" s="6" t="str">
        <x:v>Qty Source</x:v>
      </x:c>
      <x:c r="S1" s="21" t="str">
        <x:v>Regulatory Quantity Display</x:v>
      </x:c>
      <x:c r="T1" s="21" t="str">
        <x:v>Regulatory Audit Note</x:v>
      </x:c>
      <x:c r="U1" s="21" t="str">
        <x:v>THC Serving/Application Review</x:v>
      </x:c>
      <x:c r="V1" s="21" t="str">
        <x:v>Minimum Applications at ≤10mg THC</x:v>
      </x:c>
    </x:row>
    <x:row r="2">
      <x:c r="A2" t="inlineStr">
        <x:is>
          <x:t xml:space="preserve">Ceres</x:t>
        </x:is>
      </x:c>
      <x:c r="B2" t="inlineStr">
        <x:is>
          <x:t xml:space="preserve">Dragon Balm</x:t>
        </x:is>
      </x:c>
      <x:c r="C2" t="inlineStr">
        <x:is>
          <x:t xml:space="preserve">Balm / Salve</x:t>
        </x:is>
      </x:c>
      <x:c r="D2" t="inlineStr">
        <x:is>
          <x:t xml:space="preserve">Pain Relief</x:t>
        </x:is>
      </x:c>
      <x:c r="E2" t="n">
        <x:v>100</x:v>
      </x:c>
      <x:c r="F2" t="n">
        <x:v>100</x:v>
      </x:c>
      <x:c r="H2" t="inlineStr">
        <x:is>
          <x:t xml:space="preserve">1:1</x:t>
        </x:is>
      </x:c>
      <x:c r="I2" t="inlineStr">
        <x:is>
          <x:t xml:space="preserve">60</x:t>
        </x:is>
      </x:c>
      <x:c r="J2" t="n">
        <x:v>24.99</x:v>
      </x:c>
      <x:c r="K2" s="14" t="inlineStr">
        <x:is>
          <x:t xml:space="preserve">A concentrated herbal balm formulated for targeted relief on sore muscles and overworked joints with a rich, non-greasy finish.</x:t>
        </x:is>
      </x:c>
      <x:c r="L2" t="str">
        <x:v>Weight</x:v>
      </x:c>
      <x:c r="M2" s="12" t="n">
        <x:v>2</x:v>
      </x:c>
      <x:c r="N2" t="str">
        <x:v>oz</x:v>
      </x:c>
      <x:c r="O2" s="12" t="n">
        <x:v>56.7</x:v>
      </x:c>
      <x:c r="P2" t="str">
        <x:v>g</x:v>
      </x:c>
      <x:c r="Q2" s="14" t="str">
        <x:v>Researched — Ceres Dragon Balm commonly listed at 2 oz</x:v>
      </x:c>
      <x:c r="R2" s="14" t="str">
        <x:v>https://seattle.betterhashtag.com/menus/topical</x:v>
      </x:c>
      <x:c r="S2" t="str">
        <x:f>"Net Wt. "&amp;TEXT(M2,"0.##")&amp;" oz ("&amp;TEXT(O2,"0.#")&amp;" "&amp;P2&amp;")"</x:f>
        <x:v>Net Wt. 2. oz (56.7 g)</x:v>
      </x:c>
      <x:c r="T2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" s="14" t="str">
        <x:v>Package total alone does not establish serving/application compliance. At least 10 applications would be needed for ≤10mg THC per application if THC were evenly apportioned.</x:v>
      </x:c>
      <x:c r="V2" t="n">
        <x:v>10</x:v>
      </x:c>
    </x:row>
    <x:row r="3">
      <x:c r="A3" t="inlineStr">
        <x:is>
          <x:t xml:space="preserve">Ceres</x:t>
        </x:is>
      </x:c>
      <x:c r="B3" t="inlineStr">
        <x:is>
          <x:t xml:space="preserve">Joint Stick</x:t>
        </x:is>
      </x:c>
      <x:c r="C3" t="inlineStr">
        <x:is>
          <x:t xml:space="preserve">Stick</x:t>
        </x:is>
      </x:c>
      <x:c r="D3" t="inlineStr">
        <x:is>
          <x:t xml:space="preserve">Pain Relief</x:t>
        </x:is>
      </x:c>
      <x:c r="E3" t="n">
        <x:v>100</x:v>
      </x:c>
      <x:c r="F3" t="n">
        <x:v>100</x:v>
      </x:c>
      <x:c r="H3" t="inlineStr">
        <x:is>
          <x:t xml:space="preserve">1:1</x:t>
        </x:is>
      </x:c>
      <x:c r="I3" t="inlineStr">
        <x:is>
          <x:t xml:space="preserve">75</x:t>
        </x:is>
      </x:c>
      <x:c r="J3" t="n">
        <x:v>29.99</x:v>
      </x:c>
      <x:c r="K3" s="14" t="inlineStr">
        <x:is>
          <x:t xml:space="preserve">Twist-up topical stick designed for precise application on knees, elbows, wrists, and other high-use joints.</x:t>
        </x:is>
      </x:c>
      <x:c r="L3" t="str">
        <x:v>Weight</x:v>
      </x:c>
      <x:c r="M3" s="12" t="n">
        <x:v>3.4</x:v>
      </x:c>
      <x:c r="N3" t="str">
        <x:v>oz</x:v>
      </x:c>
      <x:c r="O3" s="12" t="n">
        <x:v>96.4</x:v>
      </x:c>
      <x:c r="P3" t="str">
        <x:v>g</x:v>
      </x:c>
      <x:c r="Q3" s="14" t="str">
        <x:v>Estimated exact SKU; anchored to Ceres 3.4 oz roll-up format</x:v>
      </x:c>
      <x:c r="R3" s="14" t="str">
        <x:v>https://seattle.betterhashtag.com/menus/topical</x:v>
      </x:c>
      <x:c r="S3" t="str">
        <x:f>"Net Wt. "&amp;TEXT(M3,"0.##")&amp;" oz ("&amp;TEXT(O3,"0.#")&amp;" "&amp;P3&amp;")"</x:f>
        <x:v>Net Wt. 3.4 oz (96.4 g)</x:v>
      </x:c>
      <x:c r="T3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" s="14" t="str">
        <x:v>Package total alone does not establish serving/application compliance. At least 10 applications would be needed for ≤10mg THC per application if THC were evenly apportioned.</x:v>
      </x:c>
      <x:c r="V3" t="n">
        <x:v>10</x:v>
      </x:c>
    </x:row>
    <x:row r="4">
      <x:c r="A4" t="inlineStr">
        <x:is>
          <x:t xml:space="preserve">Ceres</x:t>
        </x:is>
      </x:c>
      <x:c r="B4" t="inlineStr">
        <x:is>
          <x:t xml:space="preserve">Relief Roll-On</x:t>
        </x:is>
      </x:c>
      <x:c r="C4" t="inlineStr">
        <x:is>
          <x:t xml:space="preserve">Roll-On</x:t>
        </x:is>
      </x:c>
      <x:c r="D4" t="inlineStr">
        <x:is>
          <x:t xml:space="preserve">Pain Relief</x:t>
        </x:is>
      </x:c>
      <x:c r="E4" t="n">
        <x:v>100</x:v>
      </x:c>
      <x:c r="F4" t="n">
        <x:v>100</x:v>
      </x:c>
      <x:c r="H4" t="inlineStr">
        <x:is>
          <x:t xml:space="preserve">1:1</x:t>
        </x:is>
      </x:c>
      <x:c r="I4" t="inlineStr">
        <x:is>
          <x:t xml:space="preserve">100</x:t>
        </x:is>
      </x:c>
      <x:c r="J4" t="n">
        <x:v>24.99</x:v>
      </x:c>
      <x:c r="K4" s="14" t="inlineStr">
        <x:is>
          <x:t xml:space="preserve">Cooling roll-on with a mess-free applicator that fits easily into a gym bag or travel kit.</x:t>
        </x:is>
      </x:c>
      <x:c r="L4" t="str">
        <x:v>Weight</x:v>
      </x:c>
      <x:c r="M4" s="12" t="n">
        <x:v>3.4</x:v>
      </x:c>
      <x:c r="N4" t="str">
        <x:v>oz</x:v>
      </x:c>
      <x:c r="O4" s="12" t="n">
        <x:v>96.4</x:v>
      </x:c>
      <x:c r="P4" t="str">
        <x:v>g</x:v>
      </x:c>
      <x:c r="Q4" s="14" t="str">
        <x:v>Estimated exact SKU; anchored to Ceres 3.4 oz Dragon roll-on format</x:v>
      </x:c>
      <x:c r="R4" s="14" t="str">
        <x:v>https://cannabrands.com/dispensaries/washington/valley/access-canibus-llc?category=topical</x:v>
      </x:c>
      <x:c r="S4" t="str">
        <x:f>"Net Wt. "&amp;TEXT(M4,"0.##")&amp;" oz ("&amp;TEXT(O4,"0.#")&amp;" "&amp;P4&amp;")"</x:f>
        <x:v>Net Wt. 3.4 oz (96.4 g)</x:v>
      </x:c>
      <x:c r="T4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4" s="14" t="str">
        <x:v>Package total alone does not establish serving/application compliance. At least 10 applications would be needed for ≤10mg THC per application if THC were evenly apportioned.</x:v>
      </x:c>
      <x:c r="V4" t="n">
        <x:v>10</x:v>
      </x:c>
    </x:row>
    <x:row r="5">
      <x:c r="A5" t="inlineStr">
        <x:is>
          <x:t xml:space="preserve">Ceres</x:t>
        </x:is>
      </x:c>
      <x:c r="B5" t="inlineStr">
        <x:is>
          <x:t xml:space="preserve">Soothe Cream</x:t>
        </x:is>
      </x:c>
      <x:c r="C5" t="inlineStr">
        <x:is>
          <x:t xml:space="preserve">Cream</x:t>
        </x:is>
      </x:c>
      <x:c r="D5" t="inlineStr">
        <x:is>
          <x:t xml:space="preserve">Pain Relief</x:t>
        </x:is>
      </x:c>
      <x:c r="E5" t="n">
        <x:v>100</x:v>
      </x:c>
      <x:c r="F5" t="n">
        <x:v>100</x:v>
      </x:c>
      <x:c r="H5" t="inlineStr">
        <x:is>
          <x:t xml:space="preserve">1:1</x:t>
        </x:is>
      </x:c>
      <x:c r="I5" t="inlineStr">
        <x:is>
          <x:t xml:space="preserve">50</x:t>
        </x:is>
      </x:c>
      <x:c r="J5" t="n">
        <x:v>22.99</x:v>
      </x:c>
      <x:c r="K5" s="14" t="inlineStr">
        <x:is>
          <x:t xml:space="preserve">Fast-absorbing cream that spreads easily across larger muscle groups without leaving heavy residue.</x:t>
        </x:is>
      </x:c>
      <x:c r="L5" t="str">
        <x:v>Weight</x:v>
      </x:c>
      <x:c r="M5" s="12" t="n">
        <x:v>3.4</x:v>
      </x:c>
      <x:c r="N5" t="str">
        <x:v>oz</x:v>
      </x:c>
      <x:c r="O5" s="12" t="n">
        <x:v>96.4</x:v>
      </x:c>
      <x:c r="P5" t="str">
        <x:v>g</x:v>
      </x:c>
      <x:c r="Q5" s="14" t="str">
        <x:v>Estimated exact SKU; anchored to Ceres 3.4 oz lotion/squeeze formats</x:v>
      </x:c>
      <x:c r="R5" s="14" t="str">
        <x:v>https://seattle.betterhashtag.com/menus/topical</x:v>
      </x:c>
      <x:c r="S5" t="str">
        <x:f>"Net Wt. "&amp;TEXT(M5,"0.##")&amp;" oz ("&amp;TEXT(O5,"0.#")&amp;" "&amp;P5&amp;")"</x:f>
        <x:v>Net Wt. 3.4 oz (96.4 g)</x:v>
      </x:c>
      <x:c r="T5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5" s="14" t="str">
        <x:v>Package total alone does not establish serving/application compliance. At least 10 applications would be needed for ≤10mg THC per application if THC were evenly apportioned.</x:v>
      </x:c>
      <x:c r="V5" t="n">
        <x:v>10</x:v>
      </x:c>
    </x:row>
    <x:row r="6">
      <x:c r="A6" t="inlineStr">
        <x:is>
          <x:t xml:space="preserve">Ceres</x:t>
        </x:is>
      </x:c>
      <x:c r="B6" t="inlineStr">
        <x:is>
          <x:t xml:space="preserve">Recovery Gel</x:t>
        </x:is>
      </x:c>
      <x:c r="C6" t="inlineStr">
        <x:is>
          <x:t xml:space="preserve">Gel</x:t>
        </x:is>
      </x:c>
      <x:c r="D6" t="inlineStr">
        <x:is>
          <x:t xml:space="preserve">Recovery</x:t>
        </x:is>
      </x:c>
      <x:c r="E6" t="n">
        <x:v>100</x:v>
      </x:c>
      <x:c r="F6" t="n">
        <x:v>100</x:v>
      </x:c>
      <x:c r="H6" t="inlineStr">
        <x:is>
          <x:t xml:space="preserve">1:1</x:t>
        </x:is>
      </x:c>
      <x:c r="I6" t="inlineStr">
        <x:is>
          <x:t xml:space="preserve">60</x:t>
        </x:is>
      </x:c>
      <x:c r="J6" t="n">
        <x:v>24.99</x:v>
      </x:c>
      <x:c r="K6" s="14" t="inlineStr">
        <x:is>
          <x:t xml:space="preserve">Cooling gel formulated to refresh tired muscles after exercise or long days on your feet.</x:t>
        </x:is>
      </x:c>
      <x:c r="L6" t="str">
        <x:v>Weight</x:v>
      </x:c>
      <x:c r="M6" s="12" t="n">
        <x:v>3.4</x:v>
      </x:c>
      <x:c r="N6" t="str">
        <x:v>oz</x:v>
      </x:c>
      <x:c r="O6" s="12" t="n">
        <x:v>96.4</x:v>
      </x:c>
      <x:c r="P6" t="str">
        <x:v>g</x:v>
      </x:c>
      <x:c r="Q6" s="14" t="str">
        <x:v>Estimated exact SKU; anchored to Ceres 3.4 oz topical gel/roller formats</x:v>
      </x:c>
      <x:c r="R6" s="14" t="str">
        <x:v>https://seattle.betterhashtag.com/menus/topical</x:v>
      </x:c>
      <x:c r="S6" t="str">
        <x:f>"Net Wt. "&amp;TEXT(M6,"0.##")&amp;" oz ("&amp;TEXT(O6,"0.#")&amp;" "&amp;P6&amp;")"</x:f>
        <x:v>Net Wt. 3.4 oz (96.4 g)</x:v>
      </x:c>
      <x:c r="T6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6" s="14" t="str">
        <x:v>Package total alone does not establish serving/application compliance. At least 10 applications would be needed for ≤10mg THC per application if THC were evenly apportioned.</x:v>
      </x:c>
      <x:c r="V6" t="n">
        <x:v>10</x:v>
      </x:c>
    </x:row>
    <x:row r="7">
      <x:c r="A7" t="inlineStr">
        <x:is>
          <x:t xml:space="preserve">Ceres</x:t>
        </x:is>
      </x:c>
      <x:c r="B7" t="inlineStr">
        <x:is>
          <x:t xml:space="preserve">Recovery Lotion</x:t>
        </x:is>
      </x:c>
      <x:c r="C7" t="inlineStr">
        <x:is>
          <x:t xml:space="preserve">Lotion</x:t>
        </x:is>
      </x:c>
      <x:c r="D7" t="inlineStr">
        <x:is>
          <x:t xml:space="preserve">Recovery</x:t>
        </x:is>
      </x:c>
      <x:c r="E7" t="n">
        <x:v>100</x:v>
      </x:c>
      <x:c r="F7" t="n">
        <x:v>100</x:v>
      </x:c>
      <x:c r="H7" t="inlineStr">
        <x:is>
          <x:t xml:space="preserve">1:1</x:t>
        </x:is>
      </x:c>
      <x:c r="I7" t="inlineStr">
        <x:is>
          <x:t xml:space="preserve">100</x:t>
        </x:is>
      </x:c>
      <x:c r="J7" t="n">
        <x:v>22.99</x:v>
      </x:c>
      <x:c r="K7" s="14" t="inlineStr">
        <x:is>
          <x:t xml:space="preserve">Daily body lotion that hydrates skin while helping restore comfort after activity.</x:t>
        </x:is>
      </x:c>
      <x:c r="L7" t="str">
        <x:v>Weight</x:v>
      </x:c>
      <x:c r="M7" s="12" t="n">
        <x:v>3.4</x:v>
      </x:c>
      <x:c r="N7" t="str">
        <x:v>oz</x:v>
      </x:c>
      <x:c r="O7" s="12" t="n">
        <x:v>96.4</x:v>
      </x:c>
      <x:c r="P7" t="str">
        <x:v>g</x:v>
      </x:c>
      <x:c r="Q7" s="14" t="str">
        <x:v>Estimated exact SKU; anchored to Ceres 3.4 oz lotion format</x:v>
      </x:c>
      <x:c r="R7" s="14" t="str">
        <x:v>https://seattle.betterhashtag.com/menus/topical</x:v>
      </x:c>
      <x:c r="S7" t="str">
        <x:f>"Net Wt. "&amp;TEXT(M7,"0.##")&amp;" oz ("&amp;TEXT(O7,"0.#")&amp;" "&amp;P7&amp;")"</x:f>
        <x:v>Net Wt. 3.4 oz (96.4 g)</x:v>
      </x:c>
      <x:c r="T7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7" s="14" t="str">
        <x:v>Package total alone does not establish serving/application compliance. At least 10 applications would be needed for ≤10mg THC per application if THC were evenly apportioned.</x:v>
      </x:c>
      <x:c r="V7" t="n">
        <x:v>10</x:v>
      </x:c>
    </x:row>
    <x:row r="8">
      <x:c r="A8" t="inlineStr">
        <x:is>
          <x:t xml:space="preserve">Ceres</x:t>
        </x:is>
      </x:c>
      <x:c r="B8" t="inlineStr">
        <x:is>
          <x:t xml:space="preserve">Transdermal Patch</x:t>
        </x:is>
      </x:c>
      <x:c r="C8" t="inlineStr">
        <x:is>
          <x:t xml:space="preserve">Transdermal Patch</x:t>
        </x:is>
      </x:c>
      <x:c r="D8" t="inlineStr">
        <x:is>
          <x:t xml:space="preserve">Recovery</x:t>
        </x:is>
      </x:c>
      <x:c r="E8" t="n">
        <x:v>100</x:v>
      </x:c>
      <x:c r="F8" t="n">
        <x:v>100</x:v>
      </x:c>
      <x:c r="H8" t="inlineStr">
        <x:is>
          <x:t xml:space="preserve">1:1</x:t>
        </x:is>
      </x:c>
      <x:c r="I8" t="inlineStr">
        <x:is>
          <x:t xml:space="preserve">1 Patch</x:t>
        </x:is>
      </x:c>
      <x:c r="J8" t="n">
        <x:v>14.99</x:v>
      </x:c>
      <x:c r="K8" s="14" t="inlineStr">
        <x:is>
          <x:t xml:space="preserve">Discreet transdermal patch designed to deliver consistent localized cannabinoid support for hours.</x:t>
        </x:is>
      </x:c>
      <x:c r="L8" t="str">
        <x:v>Weight</x:v>
      </x:c>
      <x:c r="M8" s="12" t="n">
        <x:v>0.1</x:v>
      </x:c>
      <x:c r="N8" t="str">
        <x:v>oz</x:v>
      </x:c>
      <x:c r="O8" s="12" t="n">
        <x:v>2.8</x:v>
      </x:c>
      <x:c r="P8" t="str">
        <x:v>g</x:v>
      </x:c>
      <x:c r="Q8" s="14" t="str">
        <x:v>Estimated — standardized single-patch package seed weight for catalog consistency</x:v>
      </x:c>
      <x:c r="R8" s="14" t="str"/>
      <x:c r="S8" t="str">
        <x:f>"Net Wt. "&amp;TEXT(M8,"0.##")&amp;" oz ("&amp;TEXT(O8,"0.#")&amp;" g)"</x:f>
        <x:v>Net Wt. 0.1 oz (2.8 g)</x:v>
      </x:c>
      <x:c r="T8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8" s="14" t="str">
        <x:v>REVIEW REQUIRED: one listed patch contains more than 10mg THC. If one patch is one serving/application, this exceeds the general-use 10mg active Δ9-THC serving limit. Confirm licensed WA product classification/medical-compliant status before production use.</x:v>
      </x:c>
      <x:c r="V8" t="n">
        <x:v>10</x:v>
      </x:c>
    </x:row>
    <x:row r="9">
      <x:c r="A9" t="inlineStr">
        <x:is>
          <x:t xml:space="preserve">Ceres</x:t>
        </x:is>
      </x:c>
      <x:c r="B9" t="inlineStr">
        <x:is>
          <x:t xml:space="preserve">Recovery Soak</x:t>
        </x:is>
      </x:c>
      <x:c r="C9" t="inlineStr">
        <x:is>
          <x:t xml:space="preserve">Bath Soak</x:t>
        </x:is>
      </x:c>
      <x:c r="D9" t="inlineStr">
        <x:is>
          <x:t xml:space="preserve">Recovery</x:t>
        </x:is>
      </x:c>
      <x:c r="E9" t="n">
        <x:v>100</x:v>
      </x:c>
      <x:c r="F9" t="n">
        <x:v>100</x:v>
      </x:c>
      <x:c r="H9" t="inlineStr">
        <x:is>
          <x:t xml:space="preserve">1:1</x:t>
        </x:is>
      </x:c>
      <x:c r="I9" t="inlineStr">
        <x:is>
          <x:t xml:space="preserve">250</x:t>
        </x:is>
      </x:c>
      <x:c r="J9" t="n">
        <x:v>19.99</x:v>
      </x:c>
      <x:c r="K9" s="14" t="inlineStr">
        <x:is>
          <x:t xml:space="preserve">Mineral bath soak created to help relax the body after strenuous activity.</x:t>
        </x:is>
      </x:c>
      <x:c r="L9" t="str">
        <x:v>Weight</x:v>
      </x:c>
      <x:c r="M9" s="12" t="n">
        <x:v>4</x:v>
      </x:c>
      <x:c r="N9" t="str">
        <x:v>oz</x:v>
      </x:c>
      <x:c r="O9" s="12" t="n">
        <x:v>113.4</x:v>
      </x:c>
      <x:c r="P9" t="str">
        <x:v>g</x:v>
      </x:c>
      <x:c r="Q9" s="14" t="str">
        <x:v>Researched comparable Ceres bath salts/soak format at 4 oz</x:v>
      </x:c>
      <x:c r="R9" s="14" t="str">
        <x:v>https://weedmaps.com/dispensaries/sea-change-cannabis-3/wellness/topicals</x:v>
      </x:c>
      <x:c r="S9" t="str">
        <x:f>"Net Wt. "&amp;TEXT(M9,"0.##")&amp;" oz ("&amp;TEXT(O9,"0.#")&amp;" "&amp;P9&amp;")"</x:f>
        <x:v>Net Wt. 4. oz (113.4 g)</x:v>
      </x:c>
      <x:c r="T9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9" s="14" t="str">
        <x:v>Package total alone does not establish serving/application compliance. At least 10 applications would be needed for ≤10mg THC per application if THC were evenly apportioned.</x:v>
      </x:c>
      <x:c r="V9" t="n">
        <x:v>10</x:v>
      </x:c>
    </x:row>
    <x:row r="10">
      <x:c r="A10" t="inlineStr">
        <x:is>
          <x:t xml:space="preserve">Fairwinds</x:t>
        </x:is>
      </x:c>
      <x:c r="B10" t="inlineStr">
        <x:is>
          <x:t xml:space="preserve">Flow Cream</x:t>
        </x:is>
      </x:c>
      <x:c r="C10" t="inlineStr">
        <x:is>
          <x:t xml:space="preserve">Cream</x:t>
        </x:is>
      </x:c>
      <x:c r="D10" t="inlineStr">
        <x:is>
          <x:t xml:space="preserve">Recovery</x:t>
        </x:is>
      </x:c>
      <x:c r="E10" t="n">
        <x:v>100</x:v>
      </x:c>
      <x:c r="F10" t="n">
        <x:v>100</x:v>
      </x:c>
      <x:c r="H10" t="inlineStr">
        <x:is>
          <x:t xml:space="preserve">1:1</x:t>
        </x:is>
      </x:c>
      <x:c r="I10" t="inlineStr">
        <x:is>
          <x:t xml:space="preserve">50</x:t>
        </x:is>
      </x:c>
      <x:c r="J10" t="n">
        <x:v>39.99</x:v>
      </x:c>
      <x:c r="K10" s="14" t="inlineStr">
        <x:is>
          <x:t xml:space="preserve">Fairwinds' signature cream with a smooth, fast-absorbing texture for everyday recovery.</x:t>
        </x:is>
      </x:c>
      <x:c r="L10" t="str">
        <x:v>Volume</x:v>
      </x:c>
      <x:c r="M10" s="12" t="n">
        <x:v>1.67</x:v>
      </x:c>
      <x:c r="N10" t="str">
        <x:v>fl oz</x:v>
      </x:c>
      <x:c r="O10" s="12" t="n">
        <x:v>50</x:v>
      </x:c>
      <x:c r="P10" t="str">
        <x:v>mL</x:v>
      </x:c>
      <x:c r="Q10" s="14" t="str">
        <x:v>Researched — Fairwinds FLOW Cream listed as 1.67 oz / 50 mL</x:v>
      </x:c>
      <x:c r="R10" s="14" t="str">
        <x:v>https://fairwindscannabis.com/product/flow-cream/</x:v>
      </x:c>
      <x:c r="S10" t="str">
        <x:f>"Net Vol. "&amp;TEXT(M10,"0.##")&amp;" fl oz ("&amp;TEXT(O10,"0.#")&amp;" "&amp;P10&amp;")"</x:f>
        <x:v>Net Vol. 1.67 fl oz (50. mL)</x:v>
      </x:c>
      <x:c r="T10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0" s="14" t="str">
        <x:v>Package total alone does not establish serving/application compliance. At least 10 applications would be needed for ≤10mg THC per application if THC were evenly apportioned.</x:v>
      </x:c>
      <x:c r="V10" t="n">
        <x:v>10</x:v>
      </x:c>
    </x:row>
    <x:row r="11">
      <x:c r="A11" t="inlineStr">
        <x:is>
          <x:t xml:space="preserve">Fairwinds</x:t>
        </x:is>
      </x:c>
      <x:c r="B11" t="inlineStr">
        <x:is>
          <x:t xml:space="preserve">Flow Roll-On</x:t>
        </x:is>
      </x:c>
      <x:c r="C11" t="inlineStr">
        <x:is>
          <x:t xml:space="preserve">Roll-On</x:t>
        </x:is>
      </x:c>
      <x:c r="D11" t="inlineStr">
        <x:is>
          <x:t xml:space="preserve">Cooling</x:t>
        </x:is>
      </x:c>
      <x:c r="E11" t="n">
        <x:v>0</x:v>
      </x:c>
      <x:c r="F11" t="n">
        <x:v>300</x:v>
      </x:c>
      <x:c r="H11" t="inlineStr">
        <x:is>
          <x:t xml:space="preserve">CBD</x:t>
        </x:is>
      </x:c>
      <x:c r="I11" t="inlineStr">
        <x:is>
          <x:t xml:space="preserve">100</x:t>
        </x:is>
      </x:c>
      <x:c r="J11" t="n">
        <x:v>34.99</x:v>
      </x:c>
      <x:c r="K11" s="14" t="inlineStr">
        <x:is>
          <x:t xml:space="preserve">Portable roll-on delivering an invigorating cooling sensation exactly where it's needed.</x:t>
        </x:is>
      </x:c>
      <x:c r="L11" t="str">
        <x:v>Volume</x:v>
      </x:c>
      <x:c r="M11" s="12" t="n">
        <x:v>3.4</x:v>
      </x:c>
      <x:c r="N11" t="str">
        <x:v>fl oz</x:v>
      </x:c>
      <x:c r="O11" s="12" t="n">
        <x:v>100</x:v>
      </x:c>
      <x:c r="P11" t="str">
        <x:v>mL</x:v>
      </x:c>
      <x:c r="Q11" s="14" t="str">
        <x:v>Estimated — exact roll-on SKU not found; 100 mL roll-on seed value</x:v>
      </x:c>
      <x:c r="R11" s="14" t="str">
        <x:v>https://menu.fairwindsmanufacturing.com/</x:v>
      </x:c>
      <x:c r="S11" t="str">
        <x:f>"Net Vol. "&amp;TEXT(M11,"0.##")&amp;" fl oz ("&amp;TEXT(O11,"0.#")&amp;" "&amp;P11&amp;")"</x:f>
        <x:v>Net Vol. 3.4 fl oz (100. mL)</x:v>
      </x:c>
      <x:c r="T11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1" s="14" t="str">
        <x:v>No listed THC; 10mg THC serving limit not triggered by this catalog value</x:v>
      </x:c>
      <x:c r="V11"/>
    </x:row>
    <x:row r="12">
      <x:c r="A12" t="inlineStr">
        <x:is>
          <x:t xml:space="preserve">Fairwinds</x:t>
        </x:is>
      </x:c>
      <x:c r="B12" t="inlineStr">
        <x:is>
          <x:t xml:space="preserve">Flow Gel</x:t>
        </x:is>
      </x:c>
      <x:c r="C12" t="inlineStr">
        <x:is>
          <x:t xml:space="preserve">Gel</x:t>
        </x:is>
      </x:c>
      <x:c r="D12" t="inlineStr">
        <x:is>
          <x:t xml:space="preserve">Cooling</x:t>
        </x:is>
      </x:c>
      <x:c r="E12" t="n">
        <x:v>0</x:v>
      </x:c>
      <x:c r="F12" t="n">
        <x:v>300</x:v>
      </x:c>
      <x:c r="H12" t="inlineStr">
        <x:is>
          <x:t xml:space="preserve">CBD</x:t>
        </x:is>
      </x:c>
      <x:c r="I12" t="inlineStr">
        <x:is>
          <x:t xml:space="preserve">60</x:t>
        </x:is>
      </x:c>
      <x:c r="J12" t="n">
        <x:v>39.99</x:v>
      </x:c>
      <x:c r="K12" s="14" t="inlineStr">
        <x:is>
          <x:t xml:space="preserve">Lightweight cooling gel with a clean finish that won't feel sticky after application.</x:t>
        </x:is>
      </x:c>
      <x:c r="L12" t="str">
        <x:v>Volume</x:v>
      </x:c>
      <x:c r="M12" s="12" t="n">
        <x:v>1.67</x:v>
      </x:c>
      <x:c r="N12" t="str">
        <x:v>fl oz</x:v>
      </x:c>
      <x:c r="O12" s="12" t="n">
        <x:v>50</x:v>
      </x:c>
      <x:c r="P12" t="str">
        <x:v>mL</x:v>
      </x:c>
      <x:c r="Q12" s="14" t="str">
        <x:v>Researched — Fairwinds FLOW Gel listed at 50 mL / 1.67 oz</x:v>
      </x:c>
      <x:c r="R12" s="14" t="str">
        <x:v>https://menu.fairwindsmanufacturing.com/</x:v>
      </x:c>
      <x:c r="S12" t="str">
        <x:f>"Net Vol. "&amp;TEXT(M12,"0.##")&amp;" fl oz ("&amp;TEXT(O12,"0.#")&amp;" "&amp;P12&amp;")"</x:f>
        <x:v>Net Vol. 1.67 fl oz (50. mL)</x:v>
      </x:c>
      <x:c r="T12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2" s="14" t="str">
        <x:v>No listed THC; 10mg THC serving limit not triggered by this catalog value</x:v>
      </x:c>
      <x:c r="V12"/>
    </x:row>
    <x:row r="13">
      <x:c r="A13" t="inlineStr">
        <x:is>
          <x:t xml:space="preserve">Fairwinds</x:t>
        </x:is>
      </x:c>
      <x:c r="B13" t="inlineStr">
        <x:is>
          <x:t xml:space="preserve">Flow Warm</x:t>
        </x:is>
      </x:c>
      <x:c r="C13" t="inlineStr">
        <x:is>
          <x:t xml:space="preserve">Cream</x:t>
        </x:is>
      </x:c>
      <x:c r="D13" t="inlineStr">
        <x:is>
          <x:t xml:space="preserve">Warming</x:t>
        </x:is>
      </x:c>
      <x:c r="E13" t="n">
        <x:v>100</x:v>
      </x:c>
      <x:c r="F13" t="n">
        <x:v>100</x:v>
      </x:c>
      <x:c r="H13" t="inlineStr">
        <x:is>
          <x:t xml:space="preserve">1:1</x:t>
        </x:is>
      </x:c>
      <x:c r="I13" t="inlineStr">
        <x:is>
          <x:t xml:space="preserve">50</x:t>
        </x:is>
      </x:c>
      <x:c r="J13" t="n">
        <x:v>39.99</x:v>
      </x:c>
      <x:c r="K13" s="14" t="inlineStr">
        <x:is>
          <x:t xml:space="preserve">Comforting topical cream that provides gentle warming relief for stiff muscles.</x:t>
        </x:is>
      </x:c>
      <x:c r="L13" t="str">
        <x:v>Volume</x:v>
      </x:c>
      <x:c r="M13" s="12" t="n">
        <x:v>1.67</x:v>
      </x:c>
      <x:c r="N13" t="str">
        <x:v>fl oz</x:v>
      </x:c>
      <x:c r="O13" s="12" t="n">
        <x:v>50</x:v>
      </x:c>
      <x:c r="P13" t="str">
        <x:v>mL</x:v>
      </x:c>
      <x:c r="Q13" s="14" t="str">
        <x:v>Estimated exact SKU; uses Fairwinds FLOW cream/gel 50 mL format</x:v>
      </x:c>
      <x:c r="R13" s="14" t="str">
        <x:v>https://menu.fairwindsmanufacturing.com/</x:v>
      </x:c>
      <x:c r="S13" t="str">
        <x:f>"Net Vol. "&amp;TEXT(M13,"0.##")&amp;" fl oz ("&amp;TEXT(O13,"0.#")&amp;" "&amp;P13&amp;")"</x:f>
        <x:v>Net Vol. 1.67 fl oz (50. mL)</x:v>
      </x:c>
      <x:c r="T13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3" s="14" t="str">
        <x:v>Package total alone does not establish serving/application compliance. At least 10 applications would be needed for ≤10mg THC per application if THC were evenly apportioned.</x:v>
      </x:c>
      <x:c r="V13" t="n">
        <x:v>10</x:v>
      </x:c>
    </x:row>
    <x:row r="14">
      <x:c r="A14" t="inlineStr">
        <x:is>
          <x:t xml:space="preserve">Fairwinds</x:t>
        </x:is>
      </x:c>
      <x:c r="B14" t="inlineStr">
        <x:is>
          <x:t xml:space="preserve">Flow Massage Oil</x:t>
        </x:is>
      </x:c>
      <x:c r="C14" t="inlineStr">
        <x:is>
          <x:t xml:space="preserve">Oil</x:t>
        </x:is>
      </x:c>
      <x:c r="D14" t="inlineStr">
        <x:is>
          <x:t xml:space="preserve">Massage</x:t>
        </x:is>
      </x:c>
      <x:c r="E14" t="n">
        <x:v>50</x:v>
      </x:c>
      <x:c r="F14" t="n">
        <x:v>150</x:v>
      </x:c>
      <x:c r="H14" t="inlineStr">
        <x:is>
          <x:t xml:space="preserve">1:3</x:t>
        </x:is>
      </x:c>
      <x:c r="I14" t="inlineStr">
        <x:is>
          <x:t xml:space="preserve">60</x:t>
        </x:is>
      </x:c>
      <x:c r="J14" t="n">
        <x:v>34.99</x:v>
      </x:c>
      <x:c r="K14" s="14" t="inlineStr">
        <x:is>
          <x:t xml:space="preserve">Silky massage oil with extended glide for professional or at-home massage.</x:t>
        </x:is>
      </x:c>
      <x:c r="L14" t="str">
        <x:v>Volume</x:v>
      </x:c>
      <x:c r="M14" s="12" t="n">
        <x:v>2</x:v>
      </x:c>
      <x:c r="N14" t="str">
        <x:v>fl oz</x:v>
      </x:c>
      <x:c r="O14" s="12" t="n">
        <x:v>59</x:v>
      </x:c>
      <x:c r="P14" t="str">
        <x:v>mL</x:v>
      </x:c>
      <x:c r="Q14" s="14" t="str">
        <x:v>Estimated — common massage-oil package size</x:v>
      </x:c>
      <x:c r="R14" s="14" t="str">
        <x:v>https://menu.fairwindsmanufacturing.com/</x:v>
      </x:c>
      <x:c r="S14" t="str">
        <x:f>"Net Vol. "&amp;TEXT(M14,"0.##")&amp;" fl oz ("&amp;TEXT(O14,"0.#")&amp;" "&amp;P14&amp;")"</x:f>
        <x:v>Net Vol. 2. fl oz (59. mL)</x:v>
      </x:c>
      <x:c r="T14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4" s="14" t="str">
        <x:v>Package total alone does not establish serving/application compliance. At least 5 applications would be needed for ≤10mg THC per application if THC were evenly apportioned.</x:v>
      </x:c>
      <x:c r="V14" t="n">
        <x:v>5</x:v>
      </x:c>
    </x:row>
    <x:row r="15">
      <x:c r="A15" t="inlineStr">
        <x:is>
          <x:t xml:space="preserve">Fairwinds</x:t>
        </x:is>
      </x:c>
      <x:c r="B15" t="inlineStr">
        <x:is>
          <x:t xml:space="preserve">Restore Lotion</x:t>
        </x:is>
      </x:c>
      <x:c r="C15" t="inlineStr">
        <x:is>
          <x:t xml:space="preserve">Lotion</x:t>
        </x:is>
      </x:c>
      <x:c r="D15" t="inlineStr">
        <x:is>
          <x:t xml:space="preserve">Skincare</x:t>
        </x:is>
      </x:c>
      <x:c r="E15" t="n">
        <x:v>0</x:v>
      </x:c>
      <x:c r="F15" t="n">
        <x:v>200</x:v>
      </x:c>
      <x:c r="G15" t="inlineStr">
        <x:is>
          <x:t xml:space="preserve">CBG 50mg</x:t>
        </x:is>
      </x:c>
      <x:c r="H15" t="inlineStr">
        <x:is>
          <x:t xml:space="preserve">CBD:CBG 4:1</x:t>
        </x:is>
      </x:c>
      <x:c r="I15" t="inlineStr">
        <x:is>
          <x:t xml:space="preserve">100</x:t>
        </x:is>
      </x:c>
      <x:c r="J15" t="n">
        <x:v>29.99</x:v>
      </x:c>
      <x:c r="K15" s="14" t="inlineStr">
        <x:is>
          <x:t xml:space="preserve">Lightweight moisturizer that nourishes dry skin without feeling oily.</x:t>
        </x:is>
      </x:c>
      <x:c r="L15" t="str">
        <x:v>Volume</x:v>
      </x:c>
      <x:c r="M15" s="12" t="n">
        <x:v>3.4</x:v>
      </x:c>
      <x:c r="N15" t="str">
        <x:v>fl oz</x:v>
      </x:c>
      <x:c r="O15" s="12" t="n">
        <x:v>100</x:v>
      </x:c>
      <x:c r="P15" t="str">
        <x:v>mL</x:v>
      </x:c>
      <x:c r="Q15" s="14" t="str">
        <x:v>Estimated — 100 mL lotion seed value</x:v>
      </x:c>
      <x:c r="R15" s="14" t="str">
        <x:v>https://menu.fairwindsmanufacturing.com/</x:v>
      </x:c>
      <x:c r="S15" t="str">
        <x:f>"Net Vol. "&amp;TEXT(M15,"0.##")&amp;" fl oz ("&amp;TEXT(O15,"0.#")&amp;" "&amp;P15&amp;")"</x:f>
        <x:v>Net Vol. 3.4 fl oz (100. mL)</x:v>
      </x:c>
      <x:c r="T15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5" s="14" t="str">
        <x:v>No listed THC; 10mg THC serving limit not triggered by this catalog value</x:v>
      </x:c>
      <x:c r="V15"/>
    </x:row>
    <x:row r="16">
      <x:c r="A16" t="inlineStr">
        <x:is>
          <x:t xml:space="preserve">Green Revolution</x:t>
        </x:is>
      </x:c>
      <x:c r="B16" t="inlineStr">
        <x:is>
          <x:t xml:space="preserve">Muscle Melt</x:t>
        </x:is>
      </x:c>
      <x:c r="C16" t="inlineStr">
        <x:is>
          <x:t xml:space="preserve">Gel</x:t>
        </x:is>
      </x:c>
      <x:c r="D16" t="inlineStr">
        <x:is>
          <x:t xml:space="preserve">Recovery</x:t>
        </x:is>
      </x:c>
      <x:c r="E16" t="n">
        <x:v>100</x:v>
      </x:c>
      <x:c r="F16" t="n">
        <x:v>100</x:v>
      </x:c>
      <x:c r="H16" t="inlineStr">
        <x:is>
          <x:t xml:space="preserve">1:1</x:t>
        </x:is>
      </x:c>
      <x:c r="I16" t="inlineStr">
        <x:is>
          <x:t xml:space="preserve">60</x:t>
        </x:is>
      </x:c>
      <x:c r="J16" t="n">
        <x:v>29.99</x:v>
      </x:c>
      <x:c r="K16" s="14" t="inlineStr">
        <x:is>
          <x:t xml:space="preserve">Cooling topical developed to help refresh fatigued muscles following physical activity.</x:t>
        </x:is>
      </x:c>
      <x:c r="L16" t="str">
        <x:v>Volume</x:v>
      </x:c>
      <x:c r="M16" s="12" t="n">
        <x:v>2</x:v>
      </x:c>
      <x:c r="N16" t="str">
        <x:v>fl oz</x:v>
      </x:c>
      <x:c r="O16" s="12" t="n">
        <x:v>59</x:v>
      </x:c>
      <x:c r="P16" t="str">
        <x:v>mL</x:v>
      </x:c>
      <x:c r="Q16" s="14" t="str">
        <x:v>Estimated — common topical gel package</x:v>
      </x:c>
      <x:c r="R16" s="14" t="str">
        <x:v>https://menu.fairwindsmanufacturing.com/</x:v>
      </x:c>
      <x:c r="S16" t="str">
        <x:f>"Net Vol. "&amp;TEXT(M16,"0.##")&amp;" fl oz ("&amp;TEXT(O16,"0.#")&amp;" "&amp;P16&amp;")"</x:f>
        <x:v>Net Vol. 2. fl oz (59. mL)</x:v>
      </x:c>
      <x:c r="T16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6" s="14" t="str">
        <x:v>Package total alone does not establish serving/application compliance. At least 10 applications would be needed for ≤10mg THC per application if THC were evenly apportioned.</x:v>
      </x:c>
      <x:c r="V16" t="n">
        <x:v>10</x:v>
      </x:c>
    </x:row>
    <x:row r="17">
      <x:c r="A17" t="inlineStr">
        <x:is>
          <x:t xml:space="preserve">Green Revolution</x:t>
        </x:is>
      </x:c>
      <x:c r="B17" t="inlineStr">
        <x:is>
          <x:t xml:space="preserve">Restore Roll-On</x:t>
        </x:is>
      </x:c>
      <x:c r="C17" t="inlineStr">
        <x:is>
          <x:t xml:space="preserve">Roll-On</x:t>
        </x:is>
      </x:c>
      <x:c r="D17" t="inlineStr">
        <x:is>
          <x:t xml:space="preserve">Recovery</x:t>
        </x:is>
      </x:c>
      <x:c r="E17" t="n">
        <x:v>100</x:v>
      </x:c>
      <x:c r="F17" t="n">
        <x:v>100</x:v>
      </x:c>
      <x:c r="H17" t="inlineStr">
        <x:is>
          <x:t xml:space="preserve">1:1</x:t>
        </x:is>
      </x:c>
      <x:c r="I17" t="inlineStr">
        <x:is>
          <x:t xml:space="preserve">100</x:t>
        </x:is>
      </x:c>
      <x:c r="J17" t="n">
        <x:v>26.99</x:v>
      </x:c>
      <x:c r="K17" s="14" t="inlineStr">
        <x:is>
          <x:t xml:space="preserve">Convenient roll-on for quick application before or after exercise.</x:t>
        </x:is>
      </x:c>
      <x:c r="L17" t="str">
        <x:v>Volume</x:v>
      </x:c>
      <x:c r="M17" s="12" t="n">
        <x:v>3.4</x:v>
      </x:c>
      <x:c r="N17" t="str">
        <x:v>fl oz</x:v>
      </x:c>
      <x:c r="O17" s="12" t="n">
        <x:v>100</x:v>
      </x:c>
      <x:c r="P17" t="str">
        <x:v>mL</x:v>
      </x:c>
      <x:c r="Q17" s="14" t="str">
        <x:v>Estimated — common 100 mL roll-on package</x:v>
      </x:c>
      <x:c r="R17" s="14" t="str">
        <x:v>https://seattle.betterhashtag.com/menus/topical</x:v>
      </x:c>
      <x:c r="S17" t="str">
        <x:f>"Net Vol. "&amp;TEXT(M17,"0.##")&amp;" fl oz ("&amp;TEXT(O17,"0.#")&amp;" "&amp;P17&amp;")"</x:f>
        <x:v>Net Vol. 3.4 fl oz (100. mL)</x:v>
      </x:c>
      <x:c r="T17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7" s="14" t="str">
        <x:v>Package total alone does not establish serving/application compliance. At least 10 applications would be needed for ≤10mg THC per application if THC were evenly apportioned.</x:v>
      </x:c>
      <x:c r="V17" t="n">
        <x:v>10</x:v>
      </x:c>
    </x:row>
    <x:row r="18">
      <x:c r="A18" t="inlineStr">
        <x:is>
          <x:t xml:space="preserve">Green Revolution</x:t>
        </x:is>
      </x:c>
      <x:c r="B18" t="inlineStr">
        <x:is>
          <x:t xml:space="preserve">Solace Cream</x:t>
        </x:is>
      </x:c>
      <x:c r="C18" t="inlineStr">
        <x:is>
          <x:t xml:space="preserve">Cream</x:t>
        </x:is>
      </x:c>
      <x:c r="D18" t="inlineStr">
        <x:is>
          <x:t xml:space="preserve">Pain Relief</x:t>
        </x:is>
      </x:c>
      <x:c r="E18" t="n">
        <x:v>100</x:v>
      </x:c>
      <x:c r="F18" t="n">
        <x:v>100</x:v>
      </x:c>
      <x:c r="H18" t="inlineStr">
        <x:is>
          <x:t xml:space="preserve">1:1</x:t>
        </x:is>
      </x:c>
      <x:c r="I18" t="inlineStr">
        <x:is>
          <x:t xml:space="preserve">50</x:t>
        </x:is>
      </x:c>
      <x:c r="J18" t="n">
        <x:v>27.99</x:v>
      </x:c>
      <x:c r="K18" s="14" t="inlineStr">
        <x:is>
          <x:t xml:space="preserve">Smooth body cream designed for targeted comfort with a lightweight finish.</x:t>
        </x:is>
      </x:c>
      <x:c r="L18" t="str">
        <x:v>Weight</x:v>
      </x:c>
      <x:c r="M18" s="12" t="n">
        <x:v>2</x:v>
      </x:c>
      <x:c r="N18" t="str">
        <x:v>oz</x:v>
      </x:c>
      <x:c r="O18" s="12" t="n">
        <x:v>56.7</x:v>
      </x:c>
      <x:c r="P18" t="str">
        <x:v>g</x:v>
      </x:c>
      <x:c r="Q18" s="14" t="str">
        <x:v>Estimated — common cannabis cream package</x:v>
      </x:c>
      <x:c r="R18" s="14" t="str">
        <x:v>https://weedmaps.com/brands/marys-medicinals/products/gear/topicals</x:v>
      </x:c>
      <x:c r="S18" t="str">
        <x:f>"Net Wt. "&amp;TEXT(M18,"0.##")&amp;" oz ("&amp;TEXT(O18,"0.#")&amp;" "&amp;P18&amp;")"</x:f>
        <x:v>Net Wt. 2. oz (56.7 g)</x:v>
      </x:c>
      <x:c r="T18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8" s="14" t="str">
        <x:v>Package total alone does not establish serving/application compliance. At least 10 applications would be needed for ≤10mg THC per application if THC were evenly apportioned.</x:v>
      </x:c>
      <x:c r="V18" t="n">
        <x:v>10</x:v>
      </x:c>
    </x:row>
    <x:row r="19">
      <x:c r="A19" t="inlineStr">
        <x:is>
          <x:t xml:space="preserve">Green Revolution</x:t>
        </x:is>
      </x:c>
      <x:c r="B19" t="inlineStr">
        <x:is>
          <x:t xml:space="preserve">Warm Balm</x:t>
        </x:is>
      </x:c>
      <x:c r="C19" t="inlineStr">
        <x:is>
          <x:t xml:space="preserve">Balm / Salve</x:t>
        </x:is>
      </x:c>
      <x:c r="D19" t="inlineStr">
        <x:is>
          <x:t xml:space="preserve">Warming</x:t>
        </x:is>
      </x:c>
      <x:c r="E19" t="n">
        <x:v>100</x:v>
      </x:c>
      <x:c r="F19" t="n">
        <x:v>100</x:v>
      </x:c>
      <x:c r="H19" t="inlineStr">
        <x:is>
          <x:t xml:space="preserve">1:1</x:t>
        </x:is>
      </x:c>
      <x:c r="I19" t="inlineStr">
        <x:is>
          <x:t xml:space="preserve">60</x:t>
        </x:is>
      </x:c>
      <x:c r="J19" t="n">
        <x:v>24.99</x:v>
      </x:c>
      <x:c r="K19" s="14" t="inlineStr">
        <x:is>
          <x:t xml:space="preserve">Dense botanical balm that melts into the skin while providing lasting warmth.</x:t>
        </x:is>
      </x:c>
      <x:c r="L19" t="str">
        <x:v>Weight</x:v>
      </x:c>
      <x:c r="M19" s="12" t="n">
        <x:v>2</x:v>
      </x:c>
      <x:c r="N19" t="str">
        <x:v>oz</x:v>
      </x:c>
      <x:c r="O19" s="12" t="n">
        <x:v>56.7</x:v>
      </x:c>
      <x:c r="P19" t="str">
        <x:v>g</x:v>
      </x:c>
      <x:c r="Q19" s="14" t="str">
        <x:v>Estimated — standard topical balm/salve package</x:v>
      </x:c>
      <x:c r="R19" s="14" t="str">
        <x:v>https://seattle.betterhashtag.com/menus/topical</x:v>
      </x:c>
      <x:c r="S19" t="str">
        <x:f>"Net Wt. "&amp;TEXT(M19,"0.##")&amp;" oz ("&amp;TEXT(O19,"0.#")&amp;" "&amp;P19&amp;")"</x:f>
        <x:v>Net Wt. 2. oz (56.7 g)</x:v>
      </x:c>
      <x:c r="T19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19" s="14" t="str">
        <x:v>Package total alone does not establish serving/application compliance. At least 10 applications would be needed for ≤10mg THC per application if THC were evenly apportioned.</x:v>
      </x:c>
      <x:c r="V19" t="n">
        <x:v>10</x:v>
      </x:c>
    </x:row>
    <x:row r="20">
      <x:c r="A20" t="inlineStr">
        <x:is>
          <x:t xml:space="preserve">Green Revolution</x:t>
        </x:is>
      </x:c>
      <x:c r="B20" t="inlineStr">
        <x:is>
          <x:t xml:space="preserve">Cool Stick</x:t>
        </x:is>
      </x:c>
      <x:c r="C20" t="inlineStr">
        <x:is>
          <x:t xml:space="preserve">Stick</x:t>
        </x:is>
      </x:c>
      <x:c r="D20" t="inlineStr">
        <x:is>
          <x:t xml:space="preserve">Cooling</x:t>
        </x:is>
      </x:c>
      <x:c r="E20" t="n">
        <x:v>0</x:v>
      </x:c>
      <x:c r="F20" t="n">
        <x:v>300</x:v>
      </x:c>
      <x:c r="H20" t="inlineStr">
        <x:is>
          <x:t xml:space="preserve">CBD</x:t>
        </x:is>
      </x:c>
      <x:c r="I20" t="inlineStr">
        <x:is>
          <x:t xml:space="preserve">75</x:t>
        </x:is>
      </x:c>
      <x:c r="J20" t="n">
        <x:v>24.99</x:v>
      </x:c>
      <x:c r="K20" s="14" t="inlineStr">
        <x:is>
          <x:t xml:space="preserve">Pocket-sized cooling stick for quick touch-ups throughout the day.</x:t>
        </x:is>
      </x:c>
      <x:c r="L20" t="str">
        <x:v>Weight</x:v>
      </x:c>
      <x:c r="M20" s="12" t="n">
        <x:v>3</x:v>
      </x:c>
      <x:c r="N20" t="str">
        <x:v>oz</x:v>
      </x:c>
      <x:c r="O20" s="12" t="n">
        <x:v>85</x:v>
      </x:c>
      <x:c r="P20" t="str">
        <x:v>g</x:v>
      </x:c>
      <x:c r="Q20" s="14" t="str">
        <x:v>Estimated — comparable topical stick package</x:v>
      </x:c>
      <x:c r="R20" s="14" t="str">
        <x:v>https://www.thereefstores.com/locations/bremerton/categories/topicals</x:v>
      </x:c>
      <x:c r="S20" t="str">
        <x:f>"Net Wt. "&amp;TEXT(M20,"0.##")&amp;" oz ("&amp;TEXT(O20,"0.#")&amp;" "&amp;P20&amp;")"</x:f>
        <x:v>Net Wt. 3. oz (85. g)</x:v>
      </x:c>
      <x:c r="T20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0" s="14" t="str">
        <x:v>No listed THC; 10mg THC serving limit not triggered by this catalog value</x:v>
      </x:c>
      <x:c r="V20"/>
    </x:row>
    <x:row r="21">
      <x:c r="A21" t="inlineStr">
        <x:is>
          <x:t xml:space="preserve">Green Revolution</x:t>
        </x:is>
      </x:c>
      <x:c r="B21" t="inlineStr">
        <x:is>
          <x:t xml:space="preserve">Skin Restore</x:t>
        </x:is>
      </x:c>
      <x:c r="C21" t="inlineStr">
        <x:is>
          <x:t xml:space="preserve">Lotion</x:t>
        </x:is>
      </x:c>
      <x:c r="D21" t="inlineStr">
        <x:is>
          <x:t xml:space="preserve">Skincare</x:t>
        </x:is>
      </x:c>
      <x:c r="E21" t="n">
        <x:v>0</x:v>
      </x:c>
      <x:c r="F21" t="n">
        <x:v>200</x:v>
      </x:c>
      <x:c r="G21" t="inlineStr">
        <x:is>
          <x:t xml:space="preserve">CBG 50mg</x:t>
        </x:is>
      </x:c>
      <x:c r="H21" t="inlineStr">
        <x:is>
          <x:t xml:space="preserve">CBD:CBG 4:1</x:t>
        </x:is>
      </x:c>
      <x:c r="I21" t="inlineStr">
        <x:is>
          <x:t xml:space="preserve">100</x:t>
        </x:is>
      </x:c>
      <x:c r="J21" t="n">
        <x:v>26.99</x:v>
      </x:c>
      <x:c r="K21" s="14" t="inlineStr">
        <x:is>
          <x:t xml:space="preserve">Daily lotion formulated to soften and replenish dry skin.</x:t>
        </x:is>
      </x:c>
      <x:c r="L21" t="str">
        <x:v>Volume</x:v>
      </x:c>
      <x:c r="M21" s="12" t="n">
        <x:v>3.4</x:v>
      </x:c>
      <x:c r="N21" t="str">
        <x:v>fl oz</x:v>
      </x:c>
      <x:c r="O21" s="12" t="n">
        <x:v>100</x:v>
      </x:c>
      <x:c r="P21" t="str">
        <x:v>mL</x:v>
      </x:c>
      <x:c r="Q21" s="14" t="str">
        <x:v>Estimated — common 100 mL lotion package</x:v>
      </x:c>
      <x:c r="R21" s="14" t="str">
        <x:v>https://seattle.betterhashtag.com/menus/topical</x:v>
      </x:c>
      <x:c r="S21" t="str">
        <x:f>"Net Vol. "&amp;TEXT(M21,"0.##")&amp;" fl oz ("&amp;TEXT(O21,"0.#")&amp;" "&amp;P21&amp;")"</x:f>
        <x:v>Net Vol. 3.4 fl oz (100. mL)</x:v>
      </x:c>
      <x:c r="T21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1" s="14" t="str">
        <x:v>No listed THC; 10mg THC serving limit not triggered by this catalog value</x:v>
      </x:c>
      <x:c r="V21"/>
    </x:row>
    <x:row r="22">
      <x:c r="A22" t="inlineStr">
        <x:is>
          <x:t xml:space="preserve">Mary's Medicinals</x:t>
        </x:is>
      </x:c>
      <x:c r="B22" t="inlineStr">
        <x:is>
          <x:t xml:space="preserve">Transdermal Patch</x:t>
        </x:is>
      </x:c>
      <x:c r="C22" t="inlineStr">
        <x:is>
          <x:t xml:space="preserve">Transdermal Patch</x:t>
        </x:is>
      </x:c>
      <x:c r="D22" t="inlineStr">
        <x:is>
          <x:t xml:space="preserve">Pain Relief</x:t>
        </x:is>
      </x:c>
      <x:c r="E22" t="n">
        <x:v>100</x:v>
      </x:c>
      <x:c r="F22" t="n">
        <x:v>100</x:v>
      </x:c>
      <x:c r="H22" t="inlineStr">
        <x:is>
          <x:t xml:space="preserve">1:1</x:t>
        </x:is>
      </x:c>
      <x:c r="I22" t="inlineStr">
        <x:is>
          <x:t xml:space="preserve">1 Patch</x:t>
        </x:is>
      </x:c>
      <x:c r="J22" t="n">
        <x:v>19.99</x:v>
      </x:c>
      <x:c r="K22" s="14" t="inlineStr">
        <x:is>
          <x:t xml:space="preserve">Extended-wear cannabinoid patch engineered for consistent localized delivery.</x:t>
        </x:is>
      </x:c>
      <x:c r="L22" t="str">
        <x:v>Weight</x:v>
      </x:c>
      <x:c r="M22" s="12" t="n">
        <x:v>0.1</x:v>
      </x:c>
      <x:c r="N22" t="str">
        <x:v>oz</x:v>
      </x:c>
      <x:c r="O22" s="12" t="n">
        <x:v>2.8</x:v>
      </x:c>
      <x:c r="P22" t="str">
        <x:v>g</x:v>
      </x:c>
      <x:c r="Q22" s="14" t="str">
        <x:v>Estimated — standardized single-patch package seed weight for catalog consistency</x:v>
      </x:c>
      <x:c r="R22" s="14" t="str"/>
      <x:c r="S22" t="str">
        <x:f>"Net Wt. "&amp;TEXT(M22,"0.##")&amp;" oz ("&amp;TEXT(O22,"0.#")&amp;" g)"</x:f>
        <x:v>Net Wt. 0.1 oz (2.8 g)</x:v>
      </x:c>
      <x:c r="T22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2" s="14" t="str">
        <x:v>REVIEW REQUIRED: one listed patch contains more than 10mg THC. If one patch is one serving/application, this exceeds the general-use 10mg active Δ9-THC serving limit. Confirm licensed WA product classification/medical-compliant status before production use.</x:v>
      </x:c>
      <x:c r="V22" t="n">
        <x:v>10</x:v>
      </x:c>
    </x:row>
    <x:row r="23">
      <x:c r="A23" t="inlineStr">
        <x:is>
          <x:t xml:space="preserve">Mary's Medicinals</x:t>
        </x:is>
      </x:c>
      <x:c r="B23" t="inlineStr">
        <x:is>
          <x:t xml:space="preserve">Relief Patch</x:t>
        </x:is>
      </x:c>
      <x:c r="C23" t="inlineStr">
        <x:is>
          <x:t xml:space="preserve">Transdermal Patch</x:t>
        </x:is>
      </x:c>
      <x:c r="D23" t="inlineStr">
        <x:is>
          <x:t xml:space="preserve">Recovery</x:t>
        </x:is>
      </x:c>
      <x:c r="E23" t="n">
        <x:v>100</x:v>
      </x:c>
      <x:c r="F23" t="n">
        <x:v>100</x:v>
      </x:c>
      <x:c r="H23" t="inlineStr">
        <x:is>
          <x:t xml:space="preserve">1:1</x:t>
        </x:is>
      </x:c>
      <x:c r="I23" t="inlineStr">
        <x:is>
          <x:t xml:space="preserve">1 Patch</x:t>
        </x:is>
      </x:c>
      <x:c r="J23" t="n">
        <x:v>19.99</x:v>
      </x:c>
      <x:c r="K23" s="14" t="inlineStr">
        <x:is>
          <x:t xml:space="preserve">Convenient transdermal patch providing all-day support without repeated application.</x:t>
        </x:is>
      </x:c>
      <x:c r="L23" t="str">
        <x:v>Weight</x:v>
      </x:c>
      <x:c r="M23" s="12" t="n">
        <x:v>0.1</x:v>
      </x:c>
      <x:c r="N23" t="str">
        <x:v>oz</x:v>
      </x:c>
      <x:c r="O23" s="12" t="n">
        <x:v>2.8</x:v>
      </x:c>
      <x:c r="P23" t="str">
        <x:v>g</x:v>
      </x:c>
      <x:c r="Q23" s="14" t="str">
        <x:v>Estimated — standardized single-patch package seed weight for catalog consistency</x:v>
      </x:c>
      <x:c r="R23" s="14" t="str"/>
      <x:c r="S23" t="str">
        <x:f>"Net Wt. "&amp;TEXT(M23,"0.##")&amp;" oz ("&amp;TEXT(O23,"0.#")&amp;" g)"</x:f>
        <x:v>Net Wt. 0.1 oz (2.8 g)</x:v>
      </x:c>
      <x:c r="T23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3" s="14" t="str">
        <x:v>REVIEW REQUIRED: one listed patch contains more than 10mg THC. If one patch is one serving/application, this exceeds the general-use 10mg active Δ9-THC serving limit. Confirm licensed WA product classification/medical-compliant status before production use.</x:v>
      </x:c>
      <x:c r="V23" t="n">
        <x:v>10</x:v>
      </x:c>
    </x:row>
    <x:row r="24">
      <x:c r="A24" t="inlineStr">
        <x:is>
          <x:t xml:space="preserve">Mary's Medicinals</x:t>
        </x:is>
      </x:c>
      <x:c r="B24" t="inlineStr">
        <x:is>
          <x:t xml:space="preserve">Compound Cream</x:t>
        </x:is>
      </x:c>
      <x:c r="C24" t="inlineStr">
        <x:is>
          <x:t xml:space="preserve">Cream</x:t>
        </x:is>
      </x:c>
      <x:c r="D24" t="inlineStr">
        <x:is>
          <x:t xml:space="preserve">Pain Relief</x:t>
        </x:is>
      </x:c>
      <x:c r="E24" t="n">
        <x:v>100</x:v>
      </x:c>
      <x:c r="F24" t="n">
        <x:v>100</x:v>
      </x:c>
      <x:c r="H24" t="inlineStr">
        <x:is>
          <x:t xml:space="preserve">1:1</x:t>
        </x:is>
      </x:c>
      <x:c r="I24" t="inlineStr">
        <x:is>
          <x:t xml:space="preserve">50</x:t>
        </x:is>
      </x:c>
      <x:c r="J24" t="n">
        <x:v>24.99</x:v>
      </x:c>
      <x:c r="K24" s="14" t="inlineStr">
        <x:is>
          <x:t xml:space="preserve">Rich topical cream formulated for dependable everyday use.</x:t>
        </x:is>
      </x:c>
      <x:c r="L24" t="str">
        <x:v>Weight</x:v>
      </x:c>
      <x:c r="M24" s="12" t="n">
        <x:v>2</x:v>
      </x:c>
      <x:c r="N24" t="str">
        <x:v>oz</x:v>
      </x:c>
      <x:c r="O24" s="12" t="n">
        <x:v>56.7</x:v>
      </x:c>
      <x:c r="P24" t="str">
        <x:v>g</x:v>
      </x:c>
      <x:c r="Q24" s="14" t="str">
        <x:v>Estimated exact SKU; Mary's topical cream formats include 2 oz products</x:v>
      </x:c>
      <x:c r="R24" s="14" t="str">
        <x:v>https://weedmaps.com/brands/marys-medicinals/products/gear/topicals</x:v>
      </x:c>
      <x:c r="S24" t="str">
        <x:f>"Net Wt. "&amp;TEXT(M24,"0.##")&amp;" oz ("&amp;TEXT(O24,"0.#")&amp;" "&amp;P24&amp;")"</x:f>
        <x:v>Net Wt. 2. oz (56.7 g)</x:v>
      </x:c>
      <x:c r="T24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4" s="14" t="str">
        <x:v>Package total alone does not establish serving/application compliance. At least 10 applications would be needed for ≤10mg THC per application if THC were evenly apportioned.</x:v>
      </x:c>
      <x:c r="V24" t="n">
        <x:v>10</x:v>
      </x:c>
    </x:row>
    <x:row r="25">
      <x:c r="A25" t="inlineStr">
        <x:is>
          <x:t xml:space="preserve">Mary's Medicinals</x:t>
        </x:is>
      </x:c>
      <x:c r="B25" t="inlineStr">
        <x:is>
          <x:t xml:space="preserve">Massage Lotion</x:t>
        </x:is>
      </x:c>
      <x:c r="C25" t="inlineStr">
        <x:is>
          <x:t xml:space="preserve">Lotion</x:t>
        </x:is>
      </x:c>
      <x:c r="D25" t="inlineStr">
        <x:is>
          <x:t xml:space="preserve">Massage</x:t>
        </x:is>
      </x:c>
      <x:c r="E25" t="n">
        <x:v>50</x:v>
      </x:c>
      <x:c r="F25" t="n">
        <x:v>150</x:v>
      </x:c>
      <x:c r="H25" t="inlineStr">
        <x:is>
          <x:t xml:space="preserve">1:3</x:t>
        </x:is>
      </x:c>
      <x:c r="I25" t="inlineStr">
        <x:is>
          <x:t xml:space="preserve">100</x:t>
        </x:is>
      </x:c>
      <x:c r="J25" t="n">
        <x:v>22.99</x:v>
      </x:c>
      <x:c r="K25" s="14" t="inlineStr">
        <x:is>
          <x:t xml:space="preserve">Smooth lotion with excellent glide for full-body massage.</x:t>
        </x:is>
      </x:c>
      <x:c r="L25" t="str">
        <x:v>Volume</x:v>
      </x:c>
      <x:c r="M25" s="12" t="n">
        <x:v>2</x:v>
      </x:c>
      <x:c r="N25" t="str">
        <x:v>fl oz</x:v>
      </x:c>
      <x:c r="O25" s="12" t="n">
        <x:v>59</x:v>
      </x:c>
      <x:c r="P25" t="str">
        <x:v>mL</x:v>
      </x:c>
      <x:c r="Q25" s="14" t="str">
        <x:v>Estimated — exact lotion SKU not found; 2 fl oz seed value</x:v>
      </x:c>
      <x:c r="R25" s="14" t="str">
        <x:v>https://weedmaps.com/brands/marys-medicinals/products/gear/topicals</x:v>
      </x:c>
      <x:c r="S25" t="str">
        <x:f>"Net Vol. "&amp;TEXT(M25,"0.##")&amp;" fl oz ("&amp;TEXT(O25,"0.#")&amp;" "&amp;P25&amp;")"</x:f>
        <x:v>Net Vol. 2. fl oz (59. mL)</x:v>
      </x:c>
      <x:c r="T25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5" s="14" t="str">
        <x:v>Package total alone does not establish serving/application compliance. At least 5 applications would be needed for ≤10mg THC per application if THC were evenly apportioned.</x:v>
      </x:c>
      <x:c r="V25" t="n">
        <x:v>5</x:v>
      </x:c>
    </x:row>
    <x:row r="26">
      <x:c r="A26" t="inlineStr">
        <x:is>
          <x:t xml:space="preserve">Mary's Medicinals</x:t>
        </x:is>
      </x:c>
      <x:c r="B26" t="inlineStr">
        <x:is>
          <x:t xml:space="preserve">Skin Cream</x:t>
        </x:is>
      </x:c>
      <x:c r="C26" t="inlineStr">
        <x:is>
          <x:t xml:space="preserve">Cream</x:t>
        </x:is>
      </x:c>
      <x:c r="D26" t="inlineStr">
        <x:is>
          <x:t xml:space="preserve">Skincare</x:t>
        </x:is>
      </x:c>
      <x:c r="E26" t="n">
        <x:v>0</x:v>
      </x:c>
      <x:c r="F26" t="n">
        <x:v>200</x:v>
      </x:c>
      <x:c r="G26" t="inlineStr">
        <x:is>
          <x:t xml:space="preserve">CBG 50mg</x:t>
        </x:is>
      </x:c>
      <x:c r="H26" t="inlineStr">
        <x:is>
          <x:t xml:space="preserve">CBD:CBG 4:1</x:t>
        </x:is>
      </x:c>
      <x:c r="I26" t="inlineStr">
        <x:is>
          <x:t xml:space="preserve">50</x:t>
        </x:is>
      </x:c>
      <x:c r="J26" t="n">
        <x:v>22.99</x:v>
      </x:c>
      <x:c r="K26" s="14" t="inlineStr">
        <x:is>
          <x:t xml:space="preserve">Gentle moisturizing cream that leaves skin feeling soft and refreshed.</x:t>
        </x:is>
      </x:c>
      <x:c r="L26" t="str">
        <x:v>Weight</x:v>
      </x:c>
      <x:c r="M26" s="12" t="n">
        <x:v>2</x:v>
      </x:c>
      <x:c r="N26" t="str">
        <x:v>oz</x:v>
      </x:c>
      <x:c r="O26" s="12" t="n">
        <x:v>56.7</x:v>
      </x:c>
      <x:c r="P26" t="str">
        <x:v>g</x:v>
      </x:c>
      <x:c r="Q26" s="14" t="str">
        <x:v>Estimated exact SKU; Mary's topical cream formats include 2 oz products</x:v>
      </x:c>
      <x:c r="R26" s="14" t="str">
        <x:v>https://weedmaps.com/brands/marys-medicinals/products/gear/topicals</x:v>
      </x:c>
      <x:c r="S26" t="str">
        <x:f>"Net Wt. "&amp;TEXT(M26,"0.##")&amp;" oz ("&amp;TEXT(O26,"0.#")&amp;" "&amp;P26&amp;")"</x:f>
        <x:v>Net Wt. 2. oz (56.7 g)</x:v>
      </x:c>
      <x:c r="T26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6" s="14" t="str">
        <x:v>No listed THC; 10mg THC serving limit not triggered by this catalog value</x:v>
      </x:c>
      <x:c r="V26"/>
    </x:row>
    <x:row r="27">
      <x:c r="A27" t="inlineStr">
        <x:is>
          <x:t xml:space="preserve">Double Delicious</x:t>
        </x:is>
      </x:c>
      <x:c r="B27" t="inlineStr">
        <x:is>
          <x:t xml:space="preserve">Cooling Roll-On</x:t>
        </x:is>
      </x:c>
      <x:c r="C27" t="inlineStr">
        <x:is>
          <x:t xml:space="preserve">Roll-On</x:t>
        </x:is>
      </x:c>
      <x:c r="D27" t="inlineStr">
        <x:is>
          <x:t xml:space="preserve">Cooling</x:t>
        </x:is>
      </x:c>
      <x:c r="E27" t="n">
        <x:v>0</x:v>
      </x:c>
      <x:c r="F27" t="n">
        <x:v>300</x:v>
      </x:c>
      <x:c r="H27" t="inlineStr">
        <x:is>
          <x:t xml:space="preserve">CBD</x:t>
        </x:is>
      </x:c>
      <x:c r="I27" t="inlineStr">
        <x:is>
          <x:t xml:space="preserve">100</x:t>
        </x:is>
      </x:c>
      <x:c r="J27" t="n">
        <x:v>16.99</x:v>
      </x:c>
      <x:c r="K27" s="14" t="inlineStr">
        <x:is>
          <x:t xml:space="preserve">Refreshing roller with an easy-glide applicator for targeted cooling comfort.</x:t>
        </x:is>
      </x:c>
      <x:c r="L27" t="str">
        <x:v>Volume</x:v>
      </x:c>
      <x:c r="M27" s="12" t="n">
        <x:v>3.4</x:v>
      </x:c>
      <x:c r="N27" t="str">
        <x:v>fl oz</x:v>
      </x:c>
      <x:c r="O27" s="12" t="n">
        <x:v>100</x:v>
      </x:c>
      <x:c r="P27" t="str">
        <x:v>mL</x:v>
      </x:c>
      <x:c r="Q27" s="14" t="str">
        <x:v>Estimated — common 100 mL roll-on package</x:v>
      </x:c>
      <x:c r="R27" s="14" t="str">
        <x:v>https://seattle.betterhashtag.com/menus/topical</x:v>
      </x:c>
      <x:c r="S27" t="str">
        <x:f>"Net Vol. "&amp;TEXT(M27,"0.##")&amp;" fl oz ("&amp;TEXT(O27,"0.#")&amp;" "&amp;P27&amp;")"</x:f>
        <x:v>Net Vol. 3.4 fl oz (100. mL)</x:v>
      </x:c>
      <x:c r="T27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7" s="14" t="str">
        <x:v>No listed THC; 10mg THC serving limit not triggered by this catalog value</x:v>
      </x:c>
      <x:c r="V27"/>
    </x:row>
    <x:row r="28">
      <x:c r="A28" t="inlineStr">
        <x:is>
          <x:t xml:space="preserve">Double Delicious</x:t>
        </x:is>
      </x:c>
      <x:c r="B28" t="inlineStr">
        <x:is>
          <x:t xml:space="preserve">Relief Salve</x:t>
        </x:is>
      </x:c>
      <x:c r="C28" t="inlineStr">
        <x:is>
          <x:t xml:space="preserve">Balm / Salve</x:t>
        </x:is>
      </x:c>
      <x:c r="D28" t="inlineStr">
        <x:is>
          <x:t xml:space="preserve">Pain Relief</x:t>
        </x:is>
      </x:c>
      <x:c r="E28" t="n">
        <x:v>100</x:v>
      </x:c>
      <x:c r="F28" t="n">
        <x:v>100</x:v>
      </x:c>
      <x:c r="H28" t="inlineStr">
        <x:is>
          <x:t xml:space="preserve">1:1</x:t>
        </x:is>
      </x:c>
      <x:c r="I28" t="inlineStr">
        <x:is>
          <x:t xml:space="preserve">60</x:t>
        </x:is>
      </x:c>
      <x:c r="J28" t="n">
        <x:v>17.99</x:v>
      </x:c>
      <x:c r="K28" s="14" t="inlineStr">
        <x:is>
          <x:t xml:space="preserve">Traditional salve with a thick consistency that stays where it's applied.</x:t>
        </x:is>
      </x:c>
      <x:c r="L28" t="str">
        <x:v>Weight</x:v>
      </x:c>
      <x:c r="M28" s="12" t="n">
        <x:v>2</x:v>
      </x:c>
      <x:c r="N28" t="str">
        <x:v>oz</x:v>
      </x:c>
      <x:c r="O28" s="12" t="n">
        <x:v>56.7</x:v>
      </x:c>
      <x:c r="P28" t="str">
        <x:v>g</x:v>
      </x:c>
      <x:c r="Q28" s="14" t="str">
        <x:v>Estimated — standard topical balm/salve package</x:v>
      </x:c>
      <x:c r="R28" s="14" t="str">
        <x:v>https://seattle.betterhashtag.com/menus/topical</x:v>
      </x:c>
      <x:c r="S28" t="str">
        <x:f>"Net Wt. "&amp;TEXT(M28,"0.##")&amp;" oz ("&amp;TEXT(O28,"0.#")&amp;" "&amp;P28&amp;")"</x:f>
        <x:v>Net Wt. 2. oz (56.7 g)</x:v>
      </x:c>
      <x:c r="T28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8" s="14" t="str">
        <x:v>Package total alone does not establish serving/application compliance. At least 10 applications would be needed for ≤10mg THC per application if THC were evenly apportioned.</x:v>
      </x:c>
      <x:c r="V28" t="n">
        <x:v>10</x:v>
      </x:c>
    </x:row>
    <x:row r="29">
      <x:c r="A29" t="inlineStr">
        <x:is>
          <x:t xml:space="preserve">Double Delicious</x:t>
        </x:is>
      </x:c>
      <x:c r="B29" t="inlineStr">
        <x:is>
          <x:t xml:space="preserve">Warm Cream</x:t>
        </x:is>
      </x:c>
      <x:c r="C29" t="inlineStr">
        <x:is>
          <x:t xml:space="preserve">Cream</x:t>
        </x:is>
      </x:c>
      <x:c r="D29" t="inlineStr">
        <x:is>
          <x:t xml:space="preserve">Warming</x:t>
        </x:is>
      </x:c>
      <x:c r="E29" t="n">
        <x:v>100</x:v>
      </x:c>
      <x:c r="F29" t="n">
        <x:v>100</x:v>
      </x:c>
      <x:c r="H29" t="inlineStr">
        <x:is>
          <x:t xml:space="preserve">1:1</x:t>
        </x:is>
      </x:c>
      <x:c r="I29" t="inlineStr">
        <x:is>
          <x:t xml:space="preserve">50</x:t>
        </x:is>
      </x:c>
      <x:c r="J29" t="n">
        <x:v>17.99</x:v>
      </x:c>
      <x:c r="K29" s="14" t="inlineStr">
        <x:is>
          <x:t xml:space="preserve">Cream formulated to provide a comfortable warming sensation after application.</x:t>
        </x:is>
      </x:c>
      <x:c r="L29" t="str">
        <x:v>Weight</x:v>
      </x:c>
      <x:c r="M29" s="12" t="n">
        <x:v>2</x:v>
      </x:c>
      <x:c r="N29" t="str">
        <x:v>oz</x:v>
      </x:c>
      <x:c r="O29" s="12" t="n">
        <x:v>56.7</x:v>
      </x:c>
      <x:c r="P29" t="str">
        <x:v>g</x:v>
      </x:c>
      <x:c r="Q29" s="14" t="str">
        <x:v>Estimated — common cannabis cream package</x:v>
      </x:c>
      <x:c r="R29" s="14" t="str">
        <x:v>https://weedmaps.com/brands/marys-medicinals/products/gear/topicals</x:v>
      </x:c>
      <x:c r="S29" t="str">
        <x:f>"Net Wt. "&amp;TEXT(M29,"0.##")&amp;" oz ("&amp;TEXT(O29,"0.#")&amp;" "&amp;P29&amp;")"</x:f>
        <x:v>Net Wt. 2. oz (56.7 g)</x:v>
      </x:c>
      <x:c r="T29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29" s="14" t="str">
        <x:v>Package total alone does not establish serving/application compliance. At least 10 applications would be needed for ≤10mg THC per application if THC were evenly apportioned.</x:v>
      </x:c>
      <x:c r="V29" t="n">
        <x:v>10</x:v>
      </x:c>
    </x:row>
    <x:row r="30">
      <x:c r="A30" t="inlineStr">
        <x:is>
          <x:t xml:space="preserve">Double Delicious</x:t>
        </x:is>
      </x:c>
      <x:c r="B30" t="inlineStr">
        <x:is>
          <x:t xml:space="preserve">Massage Oil</x:t>
        </x:is>
      </x:c>
      <x:c r="C30" t="inlineStr">
        <x:is>
          <x:t xml:space="preserve">Oil</x:t>
        </x:is>
      </x:c>
      <x:c r="D30" t="inlineStr">
        <x:is>
          <x:t xml:space="preserve">Massage</x:t>
        </x:is>
      </x:c>
      <x:c r="E30" t="n">
        <x:v>50</x:v>
      </x:c>
      <x:c r="F30" t="n">
        <x:v>150</x:v>
      </x:c>
      <x:c r="H30" t="inlineStr">
        <x:is>
          <x:t xml:space="preserve">1:3</x:t>
        </x:is>
      </x:c>
      <x:c r="I30" t="inlineStr">
        <x:is>
          <x:t xml:space="preserve">60</x:t>
        </x:is>
      </x:c>
      <x:c r="J30" t="n">
        <x:v>18.99</x:v>
      </x:c>
      <x:c r="K30" s="14" t="inlineStr">
        <x:is>
          <x:t xml:space="preserve">Light massage oil offering a smooth glide and nourishing finish.</x:t>
        </x:is>
      </x:c>
      <x:c r="L30" t="str">
        <x:v>Volume</x:v>
      </x:c>
      <x:c r="M30" s="12" t="n">
        <x:v>2</x:v>
      </x:c>
      <x:c r="N30" t="str">
        <x:v>fl oz</x:v>
      </x:c>
      <x:c r="O30" s="12" t="n">
        <x:v>59</x:v>
      </x:c>
      <x:c r="P30" t="str">
        <x:v>mL</x:v>
      </x:c>
      <x:c r="Q30" s="14" t="str">
        <x:v>Estimated — common topical/massage oil package</x:v>
      </x:c>
      <x:c r="R30" s="14" t="str">
        <x:v>https://thebakereeseattle.com/menu/topical</x:v>
      </x:c>
      <x:c r="S30" t="str">
        <x:f>"Net Vol. "&amp;TEXT(M30,"0.##")&amp;" fl oz ("&amp;TEXT(O30,"0.#")&amp;" "&amp;P30&amp;")"</x:f>
        <x:v>Net Vol. 2. fl oz (59. mL)</x:v>
      </x:c>
      <x:c r="T30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0" s="14" t="str">
        <x:v>Package total alone does not establish serving/application compliance. At least 5 applications would be needed for ≤10mg THC per application if THC were evenly apportioned.</x:v>
      </x:c>
      <x:c r="V30" t="n">
        <x:v>5</x:v>
      </x:c>
    </x:row>
    <x:row r="31">
      <x:c r="A31" t="inlineStr">
        <x:is>
          <x:t xml:space="preserve">Agro Couture</x:t>
        </x:is>
      </x:c>
      <x:c r="B31" t="inlineStr">
        <x:is>
          <x:t xml:space="preserve">Topical Drops</x:t>
        </x:is>
      </x:c>
      <x:c r="C31" t="inlineStr">
        <x:is>
          <x:t xml:space="preserve">Oil</x:t>
        </x:is>
      </x:c>
      <x:c r="D31" t="inlineStr">
        <x:is>
          <x:t xml:space="preserve">Massage</x:t>
        </x:is>
      </x:c>
      <x:c r="E31" t="n">
        <x:v>50</x:v>
      </x:c>
      <x:c r="F31" t="n">
        <x:v>150</x:v>
      </x:c>
      <x:c r="H31" t="inlineStr">
        <x:is>
          <x:t xml:space="preserve">1:3</x:t>
        </x:is>
      </x:c>
      <x:c r="I31" t="inlineStr">
        <x:is>
          <x:t xml:space="preserve">60</x:t>
        </x:is>
      </x:c>
      <x:c r="J31" t="n">
        <x:v>19.99</x:v>
      </x:c>
      <x:c r="K31" s="14" t="inlineStr">
        <x:is>
          <x:t xml:space="preserve">Versatile infused body oil suitable for massage or targeted application.</x:t>
        </x:is>
      </x:c>
      <x:c r="L31" t="str">
        <x:v>Volume</x:v>
      </x:c>
      <x:c r="M31" s="12" t="n">
        <x:v>1.7</x:v>
      </x:c>
      <x:c r="N31" t="str">
        <x:v>fl oz</x:v>
      </x:c>
      <x:c r="O31" s="12" t="n">
        <x:v>50</x:v>
      </x:c>
      <x:c r="P31" t="str">
        <x:v>mL</x:v>
      </x:c>
      <x:c r="Q31" s="14" t="str">
        <x:v>Researched — Agro Couture topical infusion drops listed at 1.7 oz / 50 mL</x:v>
      </x:c>
      <x:c r="R31" s="14" t="str">
        <x:v>https://thebakereeseattle.com/menu/topical</x:v>
      </x:c>
      <x:c r="S31" t="str">
        <x:f>"Net Vol. "&amp;TEXT(M31,"0.##")&amp;" fl oz ("&amp;TEXT(O31,"0.#")&amp;" "&amp;P31&amp;")"</x:f>
        <x:v>Net Vol. 1.7 fl oz (50. mL)</x:v>
      </x:c>
      <x:c r="T31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1" s="14" t="str">
        <x:v>Package total alone does not establish serving/application compliance. At least 5 applications would be needed for ≤10mg THC per application if THC were evenly apportioned.</x:v>
      </x:c>
      <x:c r="V31" t="n">
        <x:v>5</x:v>
      </x:c>
    </x:row>
    <x:row r="32">
      <x:c r="A32" t="inlineStr">
        <x:is>
          <x:t xml:space="preserve">Agro Couture</x:t>
        </x:is>
      </x:c>
      <x:c r="B32" t="inlineStr">
        <x:is>
          <x:t xml:space="preserve">Repair Cream</x:t>
        </x:is>
      </x:c>
      <x:c r="C32" t="inlineStr">
        <x:is>
          <x:t xml:space="preserve">Cream</x:t>
        </x:is>
      </x:c>
      <x:c r="D32" t="inlineStr">
        <x:is>
          <x:t xml:space="preserve">Skincare</x:t>
        </x:is>
      </x:c>
      <x:c r="E32" t="n">
        <x:v>0</x:v>
      </x:c>
      <x:c r="F32" t="n">
        <x:v>200</x:v>
      </x:c>
      <x:c r="G32" t="inlineStr">
        <x:is>
          <x:t xml:space="preserve">CBG 50mg</x:t>
        </x:is>
      </x:c>
      <x:c r="H32" t="inlineStr">
        <x:is>
          <x:t xml:space="preserve">CBD:CBG 4:1</x:t>
        </x:is>
      </x:c>
      <x:c r="I32" t="inlineStr">
        <x:is>
          <x:t xml:space="preserve">50</x:t>
        </x:is>
      </x:c>
      <x:c r="J32" t="n">
        <x:v>19.99</x:v>
      </x:c>
      <x:c r="K32" s="14" t="inlineStr">
        <x:is>
          <x:t xml:space="preserve">Rich botanical cream created to hydrate and comfort dry, tired skin.</x:t>
        </x:is>
      </x:c>
      <x:c r="L32" t="str">
        <x:v>Weight</x:v>
      </x:c>
      <x:c r="M32" s="12" t="n">
        <x:v>2</x:v>
      </x:c>
      <x:c r="N32" t="str">
        <x:v>oz</x:v>
      </x:c>
      <x:c r="O32" s="12" t="n">
        <x:v>56.7</x:v>
      </x:c>
      <x:c r="P32" t="str">
        <x:v>g</x:v>
      </x:c>
      <x:c r="Q32" s="14" t="str">
        <x:v>Estimated — common cannabis cream package</x:v>
      </x:c>
      <x:c r="R32" s="14" t="str">
        <x:v>https://weedmaps.com/brands/marys-medicinals/products/gear/topicals</x:v>
      </x:c>
      <x:c r="S32" t="str">
        <x:f>"Net Wt. "&amp;TEXT(M32,"0.##")&amp;" oz ("&amp;TEXT(O32,"0.#")&amp;" "&amp;P32&amp;")"</x:f>
        <x:v>Net Wt. 2. oz (56.7 g)</x:v>
      </x:c>
      <x:c r="T32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2" s="14" t="str">
        <x:v>No listed THC; 10mg THC serving limit not triggered by this catalog value</x:v>
      </x:c>
      <x:c r="V32"/>
    </x:row>
    <x:row r="33">
      <x:c r="A33" t="inlineStr">
        <x:is>
          <x:t xml:space="preserve">Agro Couture</x:t>
        </x:is>
      </x:c>
      <x:c r="B33" t="inlineStr">
        <x:is>
          <x:t xml:space="preserve">Cooling Gel</x:t>
        </x:is>
      </x:c>
      <x:c r="C33" t="inlineStr">
        <x:is>
          <x:t xml:space="preserve">Gel</x:t>
        </x:is>
      </x:c>
      <x:c r="D33" t="inlineStr">
        <x:is>
          <x:t xml:space="preserve">Cooling</x:t>
        </x:is>
      </x:c>
      <x:c r="E33" t="n">
        <x:v>0</x:v>
      </x:c>
      <x:c r="F33" t="n">
        <x:v>300</x:v>
      </x:c>
      <x:c r="H33" t="inlineStr">
        <x:is>
          <x:t xml:space="preserve">CBD</x:t>
        </x:is>
      </x:c>
      <x:c r="I33" t="inlineStr">
        <x:is>
          <x:t xml:space="preserve">60</x:t>
        </x:is>
      </x:c>
      <x:c r="J33" t="n">
        <x:v>18.99</x:v>
      </x:c>
      <x:c r="K33" s="14" t="inlineStr">
        <x:is>
          <x:t xml:space="preserve">Fast-drying cooling gel for refreshing relief after activity.</x:t>
        </x:is>
      </x:c>
      <x:c r="L33" t="str">
        <x:v>Volume</x:v>
      </x:c>
      <x:c r="M33" s="12" t="n">
        <x:v>2</x:v>
      </x:c>
      <x:c r="N33" t="str">
        <x:v>fl oz</x:v>
      </x:c>
      <x:c r="O33" s="12" t="n">
        <x:v>59</x:v>
      </x:c>
      <x:c r="P33" t="str">
        <x:v>mL</x:v>
      </x:c>
      <x:c r="Q33" s="14" t="str">
        <x:v>Estimated — common topical gel package</x:v>
      </x:c>
      <x:c r="R33" s="14" t="str">
        <x:v>https://menu.fairwindsmanufacturing.com/</x:v>
      </x:c>
      <x:c r="S33" t="str">
        <x:f>"Net Vol. "&amp;TEXT(M33,"0.##")&amp;" fl oz ("&amp;TEXT(O33,"0.#")&amp;" "&amp;P33&amp;")"</x:f>
        <x:v>Net Vol. 2. fl oz (59. mL)</x:v>
      </x:c>
      <x:c r="T33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3" s="14" t="str">
        <x:v>No listed THC; 10mg THC serving limit not triggered by this catalog value</x:v>
      </x:c>
      <x:c r="V33"/>
    </x:row>
    <x:row r="34">
      <x:c r="A34" t="inlineStr">
        <x:is>
          <x:t xml:space="preserve">Heylo</x:t>
        </x:is>
      </x:c>
      <x:c r="B34" t="inlineStr">
        <x:is>
          <x:t xml:space="preserve">Heylotion</x:t>
        </x:is>
      </x:c>
      <x:c r="C34" t="inlineStr">
        <x:is>
          <x:t xml:space="preserve">Lotion</x:t>
        </x:is>
      </x:c>
      <x:c r="D34" t="inlineStr">
        <x:is>
          <x:t xml:space="preserve">Recovery</x:t>
        </x:is>
      </x:c>
      <x:c r="E34" t="n">
        <x:v>100</x:v>
      </x:c>
      <x:c r="F34" t="n">
        <x:v>100</x:v>
      </x:c>
      <x:c r="H34" t="inlineStr">
        <x:is>
          <x:t xml:space="preserve">1:1</x:t>
        </x:is>
      </x:c>
      <x:c r="I34" t="inlineStr">
        <x:is>
          <x:t xml:space="preserve">100</x:t>
        </x:is>
      </x:c>
      <x:c r="J34" t="n">
        <x:v>19.99</x:v>
      </x:c>
      <x:c r="K34" s="14" t="inlineStr">
        <x:is>
          <x:t xml:space="preserve">Everyday body lotion combining lightweight hydration with post-activity comfort.</x:t>
        </x:is>
      </x:c>
      <x:c r="L34" t="str">
        <x:v>Weight</x:v>
      </x:c>
      <x:c r="M34" s="12" t="n">
        <x:v>1</x:v>
      </x:c>
      <x:c r="N34" t="str">
        <x:v>oz</x:v>
      </x:c>
      <x:c r="O34" s="12" t="n">
        <x:v>28.35</x:v>
      </x:c>
      <x:c r="P34" t="str">
        <x:v>g</x:v>
      </x:c>
      <x:c r="Q34" s="14" t="str">
        <x:v>Researched — WA retailer lists Heylotion at 1 oz</x:v>
      </x:c>
      <x:c r="R34" s="14" t="str">
        <x:v>https://seattle.betterhashtag.com/menus/topical</x:v>
      </x:c>
      <x:c r="S34" t="str">
        <x:f>"Net Wt. "&amp;TEXT(M34,"0.##")&amp;" oz ("&amp;TEXT(O34,"0.#")&amp;" "&amp;P34&amp;")"</x:f>
        <x:v>Net Wt. 1. oz (28.4 g)</x:v>
      </x:c>
      <x:c r="T34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4" s="14" t="str">
        <x:v>Package total alone does not establish serving/application compliance. At least 10 applications would be needed for ≤10mg THC per application if THC were evenly apportioned.</x:v>
      </x:c>
      <x:c r="V34" t="n">
        <x:v>10</x:v>
      </x:c>
    </x:row>
    <x:row r="35">
      <x:c r="A35" t="inlineStr">
        <x:is>
          <x:t xml:space="preserve">Heylo</x:t>
        </x:is>
      </x:c>
      <x:c r="B35" t="inlineStr">
        <x:is>
          <x:t xml:space="preserve">Heat Roll-On</x:t>
        </x:is>
      </x:c>
      <x:c r="C35" t="inlineStr">
        <x:is>
          <x:t xml:space="preserve">Roll-On</x:t>
        </x:is>
      </x:c>
      <x:c r="D35" t="inlineStr">
        <x:is>
          <x:t xml:space="preserve">Warming</x:t>
        </x:is>
      </x:c>
      <x:c r="E35" t="n">
        <x:v>100</x:v>
      </x:c>
      <x:c r="F35" t="n">
        <x:v>100</x:v>
      </x:c>
      <x:c r="H35" t="inlineStr">
        <x:is>
          <x:t xml:space="preserve">1:1</x:t>
        </x:is>
      </x:c>
      <x:c r="I35" t="inlineStr">
        <x:is>
          <x:t xml:space="preserve">100</x:t>
        </x:is>
      </x:c>
      <x:c r="J35" t="n">
        <x:v>19.99</x:v>
      </x:c>
      <x:c r="K35" s="14" t="inlineStr">
        <x:is>
          <x:t xml:space="preserve">Targeted warming roll-on with a smooth, easy-glide applicator.</x:t>
        </x:is>
      </x:c>
      <x:c r="L35" t="str">
        <x:v>Volume</x:v>
      </x:c>
      <x:c r="M35" s="12" t="n">
        <x:v>3.4</x:v>
      </x:c>
      <x:c r="N35" t="str">
        <x:v>fl oz</x:v>
      </x:c>
      <x:c r="O35" s="12" t="n">
        <x:v>100</x:v>
      </x:c>
      <x:c r="P35" t="str">
        <x:v>mL</x:v>
      </x:c>
      <x:c r="Q35" s="14" t="str">
        <x:v>Estimated — common 100 mL roll-on package</x:v>
      </x:c>
      <x:c r="R35" s="14" t="str">
        <x:v>https://seattle.betterhashtag.com/menus/topical</x:v>
      </x:c>
      <x:c r="S35" t="str">
        <x:f>"Net Vol. "&amp;TEXT(M35,"0.##")&amp;" fl oz ("&amp;TEXT(O35,"0.#")&amp;" "&amp;P35&amp;")"</x:f>
        <x:v>Net Vol. 3.4 fl oz (100. mL)</x:v>
      </x:c>
      <x:c r="T35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5" s="14" t="str">
        <x:v>Package total alone does not establish serving/application compliance. At least 10 applications would be needed for ≤10mg THC per application if THC were evenly apportioned.</x:v>
      </x:c>
      <x:c r="V35" t="n">
        <x:v>10</x:v>
      </x:c>
    </x:row>
    <x:row r="36">
      <x:c r="A36" t="inlineStr">
        <x:is>
          <x:t xml:space="preserve">Heylo</x:t>
        </x:is>
      </x:c>
      <x:c r="B36" t="inlineStr">
        <x:is>
          <x:t xml:space="preserve">O Lube</x:t>
        </x:is>
      </x:c>
      <x:c r="C36" t="inlineStr">
        <x:is>
          <x:t xml:space="preserve">Lubricant</x:t>
        </x:is>
      </x:c>
      <x:c r="D36" t="inlineStr">
        <x:is>
          <x:t xml:space="preserve">Intimacy</x:t>
        </x:is>
      </x:c>
      <x:c r="E36" t="n">
        <x:v>50</x:v>
      </x:c>
      <x:c r="F36" t="n">
        <x:v>50</x:v>
      </x:c>
      <x:c r="H36" t="inlineStr">
        <x:is>
          <x:t xml:space="preserve">1:1</x:t>
        </x:is>
      </x:c>
      <x:c r="I36" t="inlineStr">
        <x:is>
          <x:t xml:space="preserve">100</x:t>
        </x:is>
      </x:c>
      <x:c r="J36" t="n">
        <x:v>44.99</x:v>
      </x:c>
      <x:c r="K36" s="14" t="inlineStr">
        <x:is>
          <x:t xml:space="preserve">Water-based intimate lubricant formulated for a smooth feel, easy cleanup, and long-lasting comfort.</x:t>
        </x:is>
      </x:c>
      <x:c r="L36" t="str">
        <x:v>Weight</x:v>
      </x:c>
      <x:c r="M36" s="12" t="n">
        <x:v>0.5</x:v>
      </x:c>
      <x:c r="N36" t="str">
        <x:v>oz</x:v>
      </x:c>
      <x:c r="O36" s="12" t="n">
        <x:v>14.2</x:v>
      </x:c>
      <x:c r="P36" t="str">
        <x:v>g</x:v>
      </x:c>
      <x:c r="Q36" s="14" t="str">
        <x:v>Researched comparable Heylo Louder Lube WA listing at 0.5 oz</x:v>
      </x:c>
      <x:c r="R36" s="14" t="str">
        <x:v>https://www.thereefstores.com/locations/bremerton/categories/topicals</x:v>
      </x:c>
      <x:c r="S36" t="str">
        <x:f>"Net Wt. "&amp;TEXT(M36,"0.##")&amp;" oz ("&amp;TEXT(O36,"0.#")&amp;" "&amp;P36&amp;")"</x:f>
        <x:v>Net Wt. 0.5 oz (14.2 g)</x:v>
      </x:c>
      <x:c r="T36" s="14" t="str">
        <x:v>WA schema check: topical label must prominently display net weight in oz + g or volume as applicable. This catalog separates physical quantity from cannabinoid mg. Estimated quantities must be replaced by the licensed processor/POS label value for production use.</x:v>
      </x:c>
      <x:c r="U36" s="14" t="str">
        <x:v>Package total alone does not establish serving/application compliance. At least 5 applications would be needed for ≤10mg THC per application if THC were evenly apportioned.</x:v>
      </x:c>
      <x:c r="V36" t="n">
        <x:v>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0" hidden="0" customWidth="1"/>
  </x:cols>
  <x:sheetData>
    <x:row r="1">
      <x:c r="A1" s="6" t="str">
        <x:v>Topic</x:v>
      </x:c>
      <x:c r="B1" s="6" t="str">
        <x:v>Notes / Source</x:v>
      </x:c>
    </x:row>
    <x:row r="2">
      <x:c r="A2" s="14" t="str">
        <x:v>Method</x:v>
      </x:c>
      <x:c r="B2" s="14" t="str">
        <x:v>Exact/brand-supported WA quantities were used when found. Synthetic or unsupported exact SKUs are explicitly marked Estimated in the product sheet.</x:v>
      </x:c>
    </x:row>
    <x:row r="3">
      <x:c r="A3" s="14" t="str">
        <x:v>Ceres topicals</x:v>
      </x:c>
      <x:c r="B3" s="14" t="str">
        <x:v>https://seattle.betterhashtag.com/menus/topical</x:v>
      </x:c>
    </x:row>
    <x:row r="4">
      <x:c r="A4" s="14" t="str">
        <x:v>Fairwinds FLOW</x:v>
      </x:c>
      <x:c r="B4" s="14" t="str">
        <x:v>https://fairwindscannabis.com/product/flow-cream/</x:v>
      </x:c>
    </x:row>
    <x:row r="5">
      <x:c r="A5" s="14" t="str">
        <x:v>Fairwinds catalog</x:v>
      </x:c>
      <x:c r="B5" s="14" t="str">
        <x:v>https://menu.fairwindsmanufacturing.com/</x:v>
      </x:c>
    </x:row>
    <x:row r="6">
      <x:c r="A6" s="14" t="str">
        <x:v>Mary's patches</x:v>
      </x:c>
      <x:c r="B6" s="14" t="str">
        <x:v>https://marysmedicinals.com/product/transdermal-patch-cbd-thc/</x:v>
      </x:c>
    </x:row>
    <x:row r="7">
      <x:c r="A7" s="14" t="str">
        <x:v>Mary's topicals</x:v>
      </x:c>
      <x:c r="B7" s="14" t="str">
        <x:v>https://weedmaps.com/brands/marys-medicinals/products/gear/topicals</x:v>
      </x:c>
    </x:row>
    <x:row r="8">
      <x:c r="A8" s="14" t="str">
        <x:v>Agro Couture topical drops</x:v>
      </x:c>
      <x:c r="B8" s="14" t="str">
        <x:v>https://thebakereeseattle.com/menu/topical</x:v>
      </x:c>
    </x:row>
    <x:row r="9">
      <x:c r="A9" s="14" t="str">
        <x:v>Heylo WA retail examples</x:v>
      </x:c>
      <x:c r="B9" s="14" t="str">
        <x:v>https://www.thereefstores.com/locations/bremerton/categories/topicals</x:v>
      </x:c>
    </x:row>
    <x:row r="10">
      <x:c r="A10" s="14" t="str">
        <x:v>Production rule</x:v>
      </x:c>
      <x:c r="B10" s="14" t="str">
        <x:v>Licensed processor/POS net quantity should override any estimated catalog seed value.</x:v>
      </x:c>
    </x:row>
    <x:row r="12">
      <x:c r="A12" s="14" t="str">
        <x:v>Patch quantity convention</x:v>
      </x:c>
      <x:c r="B12" s="14" t="str">
        <x:v>All single transdermal patch SKUs in this seed catalog use an estimated standardized net weight of 0.10 oz (2.8 g), while retaining '1 Patch' as count metadata.</x:v>
      </x:c>
    </x:row>
    <x:row r="13">
      <x:c r="A13" s="14" t="str">
        <x:v>Production override</x:v>
      </x:c>
      <x:c r="B13" s="14" t="str">
        <x:v>Replace the estimated patch weight with the licensed processor/POS net quantity whenever real inventory data is available.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3" max="3" width="78" hidden="0" customWidth="1"/>
    <x:col min="4" max="4" width="62" hidden="0" customWidth="1"/>
  </x:cols>
  <x:sheetData>
    <x:row r="1">
      <x:c r="A1" s="21" t="str">
        <x:v>Check</x:v>
      </x:c>
      <x:c r="B1" s="21" t="str">
        <x:v>Status</x:v>
      </x:c>
      <x:c r="C1" s="21" t="str">
        <x:v>Washington Standard</x:v>
      </x:c>
      <x:c r="D1" s="21" t="str">
        <x:v>Source</x:v>
      </x:c>
    </x:row>
    <x:row r="2">
      <x:c r="A2" s="14" t="str">
        <x:v>Net quantity</x:v>
      </x:c>
      <x:c r="B2" s="14" t="str">
        <x:v>Pass after unit correction</x:v>
      </x:c>
      <x:c r="C2" s="14" t="str">
        <x:v>Topical label must prominently display net weight in ounces and grams or volume as applicable.</x:v>
      </x:c>
      <x:c r="D2" s="14" t="str">
        <x:v>https://app.leg.wa.gov/wac/default.aspx?cite=314-55-105</x:v>
      </x:c>
    </x:row>
    <x:row r="3">
      <x:c r="A3" s="14" t="str">
        <x:v>Liquid units</x:v>
      </x:c>
      <x:c r="B3" s="14" t="str">
        <x:v>Corrected</x:v>
      </x:c>
      <x:c r="C3" s="14" t="str">
        <x:v>Volume-based U.S. customary declaration uses fluid measure; catalog now uses fl oz for volume rows.</x:v>
      </x:c>
      <x:c r="D3" s="14" t="str">
        <x:v>https://www.nist.gov/system/files/documents/2017/05/09/HB130-2016-wfinal2.pdf</x:v>
      </x:c>
    </x:row>
    <x:row r="4">
      <x:c r="A4" s="14" t="str">
        <x:v>Physical vs cannabinoid amount</x:v>
      </x:c>
      <x:c r="B4" s="14" t="str">
        <x:v>Pass (schema)</x:v>
      </x:c>
      <x:c r="C4" s="14" t="str">
        <x:v>Net quantity is separate from Total THC / Total CBD information.</x:v>
      </x:c>
      <x:c r="D4" s="14" t="str">
        <x:v>https://app.leg.wa.gov/wac/default.aspx?cite=314-55-105</x:v>
      </x:c>
    </x:row>
    <x:row r="5">
      <x:c r="A5" s="14" t="str">
        <x:v>Transaction limit</x:v>
      </x:c>
      <x:c r="B5" s="14" t="str">
        <x:v>Reference only</x:v>
      </x:c>
      <x:c r="C5" s="14" t="str">
        <x:v>Adult-use transaction limit includes 72 oz of liquid cannabis-infused product applied topically, subject to the rule's exceptions.</x:v>
      </x:c>
      <x:c r="D5" s="14" t="str">
        <x:v>https://app.leg.wa.gov/wac/default.aspx?cite=314-55-095</x:v>
      </x:c>
    </x:row>
    <x:row r="6">
      <x:c r="A6" s="14" t="str">
        <x:v>Exact SKU quantity</x:v>
      </x:c>
      <x:c r="B6" s="14" t="str">
        <x:v>Conditional</x:v>
      </x:c>
      <x:c r="C6" s="14" t="str">
        <x:v>Estimated weights/volumes are suitable only as seed catalog data; licensed processor/POS label quantity controls for actual sale.</x:v>
      </x:c>
      <x:c r="D6" s="14" t="str">
        <x:v>https://app.leg.wa.gov/wac/default.aspx?cite=16-662-105</x:v>
      </x:c>
    </x:row>
    <x:row r="7">
      <x:c r="A7" s="14" t="str">
        <x:v>THC serving/application</x:v>
      </x:c>
      <x:c r="B7" s="14" t="str">
        <x:v>Not fully auditable</x:v>
      </x:c>
      <x:c r="C7" s="14" t="str">
        <x:v>A single serving of a cannabis-infused product may not exceed 10 mg active delta-9 THC; package total alone does not define topical application size.</x:v>
      </x:c>
      <x:c r="D7" s="14" t="str">
        <x:v>https://app.leg.wa.gov/wac/default.aspx?cite=314-55-095</x:v>
      </x:c>
    </x:row>
    <x:row r="8">
      <x:c r="A8" s="14" t="str">
        <x:v>Single-patch rows</x:v>
      </x:c>
      <x:c r="B8" s="14" t="str">
        <x:v>Review required</x:v>
      </x:c>
      <x:c r="C8" s="14" t="str">
        <x:v>A one-patch SKU above 10 mg THC needs verification of its Washington licensed classification / applicable compliant-medical framework before being treated as general-use compliant.</x:v>
      </x:c>
      <x:c r="D8" s="14" t="str">
        <x:v>https://app.leg.wa.gov/wac/default.aspx?cite=314-55-095</x:v>
      </x:c>
    </x:row>
  </x:sheetData>
  <x:pageMargins left="0.7" right="0.7" top="0.75" bottom="0.75" header="0.3" footer="0.3"/>
</x:worksheet>
</file>