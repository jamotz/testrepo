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73f690bfb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bles" sheetId="1" r:id="R1481b8a0c86a41cf"/>
    <x:sheet xmlns:r="http://schemas.openxmlformats.org/officeDocument/2006/relationships" name="Pricing Notes" sheetId="2" r:id="Red04dbcc4a6541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"/>
    <x:numFmt numFmtId="202" formatCode="$0.00"/>
    <x:numFmt numFmtId="203" formatCode="0.##"/>
  </x:numFmts>
  <x:fonts count="7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sz val="11"/>
      <x:color rgb="FF000000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F1601C"/>
      </x:patternFill>
    </x:fill>
    <x:fill>
      <x:patternFill patternType="solid">
        <x:fgColor rgb="FF333333"/>
      </x:patternFill>
    </x:fill>
    <x:fill>
      <x:patternFill patternType="solid">
        <x:fgColor rgb="FFF1601C"/>
      </x:patternFill>
    </x:fill>
    <x:fill>
      <x:patternFill patternType="solid">
        <x:fgColor rgb="FFFFFFFF"/>
      </x:patternFill>
    </x:fill>
    <x:fill>
      <x:patternFill patternType="solid">
        <x:fgColor rgb="FF333333"/>
      </x:patternFill>
    </x:fill>
    <x:fill>
      <x:patternFill patternType="solid">
        <x:fgColor rgb="FFF1601C"/>
      </x:patternFill>
    </x:fill>
    <x:fill>
      <x:patternFill patternType="solid">
        <x:fgColor rgb="FF333333"/>
      </x:patternFill>
    </x:fill>
    <x:fill>
      <x:patternFill patternType="solid">
        <x:fgColor rgb="FFF1601C"/>
      </x:patternFill>
    </x:fill>
    <x:fill>
      <x:patternFill patternType="solid">
        <x:fgColor rgb="FF333333"/>
      </x:patternFill>
    </x:fill>
    <x:fill>
      <x:patternFill patternType="solid">
        <x:fgColor rgb="FFF1601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90">
    <x:xf numFmtId="0" fontId="0" fillId="0" borderId="0" xfId="0"/>
    <x:xf numFmtId="0" fontId="1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4" fillId="6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201" fontId="4" fillId="6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top"/>
    </x:xf>
    <x:xf numFmtId="0" fontId="3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201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/>
    <x:xf numFmtId="200" fontId="3" fillId="8" borderId="0" xfId="0" applyNumberFormat="1" applyFont="1" applyFill="1" applyBorder="1"/>
    <x:xf numFmtId="201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1"/>
    </x:xf>
    <x:xf numFmtId="200" fontId="3" fillId="8" borderId="0" xfId="0" applyNumberFormat="1" applyFont="1" applyFill="1" applyBorder="1" applyAlignment="1">
      <x:alignment vertical="center"/>
    </x:xf>
    <x:xf numFmtId="201" fontId="3" fillId="8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/>
    <x:xf numFmtId="201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 wrapText="1"/>
    </x:xf>
    <x:xf numFmtId="200" fontId="3" fillId="10" borderId="0" xfId="0" applyNumberFormat="1" applyFont="1" applyFill="1" applyBorder="1" applyAlignment="1">
      <x:alignment vertical="center"/>
    </x:xf>
    <x:xf numFmtId="201" fontId="3" fillId="1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/>
    </x:xf>
    <x:xf numFmtId="201" fontId="5" fillId="6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2" fontId="3" fillId="1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top"/>
    </x:xf>
    <x:xf numFmtId="202" fontId="5" fillId="6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wrapText="1"/>
    </x:xf>
    <x:xf numFmtId="201" fontId="3" fillId="1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6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3" fillId="1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2" fontId="3" fillId="3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top"/>
    </x:xf>
    <x:xf numFmtId="202" fontId="4" fillId="6" borderId="0" xfId="0" applyNumberFormat="1" applyFont="1" applyFill="1" applyBorder="1" applyAlignment="1">
      <x:alignment vertical="top"/>
    </x:xf>
    <x:xf numFmtId="201" fontId="3" fillId="3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202" fontId="3" fillId="12" borderId="0" xfId="0" applyNumberFormat="1" applyFont="1" applyFill="1" applyBorder="1" applyAlignment="1">
      <x:alignment vertical="center"/>
    </x:xf>
    <x:xf numFmtId="200" fontId="3" fillId="12" borderId="0" xfId="0" applyNumberFormat="1" applyFont="1" applyFill="1" applyBorder="1" applyAlignment="1">
      <x:alignment vertical="center" wrapText="1"/>
    </x:xf>
    <x:xf numFmtId="201" fontId="3" fillId="12" borderId="0" xfId="0" applyNumberFormat="1" applyFont="1" applyFill="1" applyBorder="1" applyAlignment="1">
      <x:alignment vertical="center"/>
    </x:xf>
    <x:xf numFmtId="200" fontId="3" fillId="12" borderId="0" xfId="0" applyNumberFormat="1" applyFont="1" applyFill="1" applyBorder="1" applyAlignment="1">
      <x:alignment vertical="center"/>
    </x:xf>
    <x:xf numFmtId="201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4" fillId="13" borderId="0" xfId="0" applyNumberFormat="1" applyFont="1" applyFill="1" applyBorder="1" applyAlignment="1">
      <x:alignment vertical="top"/>
    </x:xf>
    <x:xf numFmtId="0" fontId="4" fillId="13" borderId="0" xfId="0" applyNumberFormat="1" applyFont="1" applyFill="1" applyBorder="1" applyAlignment="1">
      <x:alignment vertical="top" wrapText="1"/>
    </x:xf>
    <x:xf numFmtId="202" fontId="4" fillId="13" borderId="0" xfId="0" applyNumberFormat="1" applyFont="1" applyFill="1" applyBorder="1" applyAlignment="1">
      <x:alignment vertical="top"/>
    </x:xf>
    <x:xf numFmtId="200" fontId="4" fillId="13" borderId="0" xfId="0" applyNumberFormat="1" applyFont="1" applyFill="1" applyBorder="1" applyAlignment="1">
      <x:alignment vertical="top" wrapText="1"/>
    </x:xf>
    <x:xf numFmtId="201" fontId="4" fillId="13" borderId="0" xfId="0" applyNumberFormat="1" applyFont="1" applyFill="1" applyBorder="1" applyAlignment="1">
      <x:alignment vertical="top"/>
    </x:xf>
    <x:xf numFmtId="200" fontId="4" fillId="13" borderId="0" xfId="0" applyNumberFormat="1" applyFont="1" applyFill="1" applyBorder="1" applyAlignment="1">
      <x:alignment vertical="top"/>
    </x:xf>
    <x:xf numFmtId="201" fontId="4" fillId="13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 applyAlignment="1">
      <x:alignment vertical="top"/>
    </x:xf>
    <x:xf numFmtId="0" fontId="6" fillId="13" borderId="0" xfId="0" applyNumberFormat="1" applyFont="1" applyFill="1" applyBorder="1" applyAlignment="1">
      <x:alignment vertical="top" wrapText="1"/>
    </x:xf>
    <x:xf numFmtId="202" fontId="6" fillId="13" borderId="0" xfId="0" applyNumberFormat="1" applyFont="1" applyFill="1" applyBorder="1" applyAlignment="1">
      <x:alignment vertical="top"/>
    </x:xf>
    <x:xf numFmtId="200" fontId="6" fillId="13" borderId="0" xfId="0" applyNumberFormat="1" applyFont="1" applyFill="1" applyBorder="1" applyAlignment="1">
      <x:alignment vertical="top" wrapText="1"/>
    </x:xf>
    <x:xf numFmtId="201" fontId="6" fillId="13" borderId="0" xfId="0" applyNumberFormat="1" applyFont="1" applyFill="1" applyBorder="1" applyAlignment="1">
      <x:alignment vertical="top"/>
    </x:xf>
    <x:xf numFmtId="200" fontId="6" fillId="13" borderId="0" xfId="0" applyNumberFormat="1" applyFont="1" applyFill="1" applyBorder="1" applyAlignment="1">
      <x:alignment vertical="top"/>
    </x:xf>
    <x:xf numFmtId="201" fontId="6" fillId="13" borderId="0" xfId="0" applyNumberFormat="1" applyFont="1" applyFill="1" applyBorder="1" applyAlignment="1">
      <x:alignment vertical="top" wrapText="1"/>
    </x:xf>
    <x:xf numFmtId="0" fontId="6" fillId="13" borderId="0" xfId="0" applyNumberFormat="1" applyFont="1" applyFill="1" applyBorder="1"/>
    <x:xf numFmtId="203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3" fillId="12" borderId="0" xfId="0" applyNumberFormat="1" applyFont="1" applyFill="1" applyBorder="1" applyAlignment="1">
      <x:alignment vertical="center"/>
    </x:xf>
    <x:xf numFmtId="203" fontId="3" fillId="12" borderId="0" xfId="0" applyNumberFormat="1" applyFont="1" applyFill="1" applyBorder="1" applyAlignment="1">
      <x:alignment vertical="center" wrapText="1"/>
    </x:xf>
    <x:xf numFmtId="203" fontId="6" fillId="13" borderId="0" xfId="0" applyNumberFormat="1" applyFont="1" applyFill="1" applyBorder="1" applyAlignment="1">
      <x:alignment vertical="top"/>
    </x:xf>
    <x:xf numFmtId="203" fontId="6" fillId="13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wrapText="1"/>
    </x:xf>
    <x:xf numFmtId="202" fontId="3" fillId="12" borderId="0" xfId="0" applyNumberFormat="1" applyFont="1" applyFill="1" applyBorder="1" applyAlignment="1">
      <x:alignment vertical="center" wrapText="1"/>
    </x:xf>
    <x:xf numFmtId="202" fontId="6" fillId="13" borderId="0" xfId="0" applyNumberFormat="1" applyFont="1" applyFill="1" applyBorder="1" applyAlignment="1">
      <x:alignment vertical="top" wrapText="1"/>
    </x:xf>
    <x:xf numFmtId="203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 wrapText="1"/>
    </x:xf>
    <x:xf numFmtId="203" fontId="4" fillId="6" borderId="0" xfId="0" applyNumberFormat="1" applyFont="1" applyFill="1" applyBorder="1" applyAlignment="1">
      <x:alignment vertical="top"/>
    </x:xf>
    <x:xf numFmtId="203" fontId="4" fillId="6" borderId="0" xfId="0" applyNumberFormat="1" applyFont="1" applyFill="1" applyBorder="1" applyAlignment="1">
      <x:alignment vertical="top" wrapText="1"/>
    </x:xf>
    <x:xf numFmtId="202" fontId="3" fillId="3" borderId="0" xfId="0" applyNumberFormat="1" applyFont="1" applyFill="1" applyBorder="1" applyAlignment="1">
      <x:alignment vertical="center" wrapText="1"/>
    </x:xf>
    <x:xf numFmtId="202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ae3b63d6f48a2" /><Relationship Type="http://schemas.openxmlformats.org/officeDocument/2006/relationships/theme" Target="/xl/theme/theme1.xml" Id="R3ad8d33bb1c84692" /><Relationship Type="http://schemas.openxmlformats.org/officeDocument/2006/relationships/sharedStrings" Target="/xl/sharedStrings.xml" Id="Rcb0ac8c6ba3542db" /><Relationship Type="http://schemas.openxmlformats.org/officeDocument/2006/relationships/worksheet" Target="/xl/worksheets/sheet1.xml" Id="R1481b8a0c86a41cf" /><Relationship Type="http://schemas.openxmlformats.org/officeDocument/2006/relationships/worksheet" Target="/xl/worksheets/sheet2.xml" Id="Red04dbcc4a6541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30" hidden="0" customWidth="1"/>
    <x:col min="3" max="3" width="17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20" hidden="0" customWidth="1"/>
    <x:col min="9" max="9" width="1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8" hidden="0" customWidth="1"/>
    <x:col min="19" max="19" width="20" hidden="0" customWidth="1"/>
    <x:col min="20" max="20" width="18" hidden="0" customWidth="1"/>
    <x:col min="21" max="21" width="62" hidden="0" customWidth="1"/>
    <x:col min="22" max="22" width="18" hidden="0" customWidth="1"/>
    <x:col min="23" max="23" width="50" hidden="0" customWidth="1"/>
    <x:col min="24" max="24" width="58" hidden="0" customWidth="1"/>
    <x:col min="25" max="25" width="14" hidden="0" customWidth="1"/>
    <x:col min="26" max="26" width="16" hidden="0" customWidth="1"/>
    <x:col min="27" max="27" width="10" hidden="0" customWidth="1"/>
    <x:col min="28" max="28" width="18" hidden="0" customWidth="1"/>
    <x:col min="29" max="29" width="12" hidden="0" customWidth="1"/>
    <x:col min="30" max="30" width="18" hidden="0" customWidth="1"/>
    <x:col min="31" max="31" width="48" hidden="0" customWidth="1"/>
    <x:col min="32" max="32" width="58" hidden="0" customWidth="1"/>
  </x:cols>
  <x:sheetData>
    <x:row r="1" ht="34" customHeight="1">
      <x:c r="A1" s="142" t="str">
        <x:v>Brand</x:v>
      </x:c>
      <x:c r="B1" s="142" t="str">
        <x:v>Product Name</x:v>
      </x:c>
      <x:c r="C1" s="142" t="str">
        <x:v>Product Type</x:v>
      </x:c>
      <x:c r="D1" s="142" t="str">
        <x:v>Cannabinoid Category</x:v>
      </x:c>
      <x:c r="E1" s="142" t="str">
        <x:v>Concentrate Type</x:v>
      </x:c>
      <x:c r="F1" s="142" t="str">
        <x:v>Lifestyle</x:v>
      </x:c>
      <x:c r="G1" s="142" t="str">
        <x:v>Effect</x:v>
      </x:c>
      <x:c r="H1" s="142" t="str">
        <x:v>Cannabinoid Combo</x:v>
      </x:c>
      <x:c r="I1" s="142" t="str">
        <x:v>Ratio (Tile)</x:v>
      </x:c>
      <x:c r="J1" s="142" t="str">
        <x:v>THC Serving mg</x:v>
      </x:c>
      <x:c r="K1" s="142" t="str">
        <x:v>THC Total mg</x:v>
      </x:c>
      <x:c r="L1" s="142" t="str">
        <x:v>CBD Serving mg</x:v>
      </x:c>
      <x:c r="M1" s="142" t="str">
        <x:v>CBD Total mg</x:v>
      </x:c>
      <x:c r="N1" s="142" t="str">
        <x:v>CBN Serving mg</x:v>
      </x:c>
      <x:c r="O1" s="142" t="str">
        <x:v>CBN Total mg</x:v>
      </x:c>
      <x:c r="P1" s="143" t="str">
        <x:v>CBG Serving mg</x:v>
      </x:c>
      <x:c r="Q1" s="143" t="str">
        <x:v>CBG Total mg</x:v>
      </x:c>
      <x:c r="R1" s="143" t="str">
        <x:v>Servings Per Package</x:v>
      </x:c>
      <x:c r="S1" s="143" t="str">
        <x:v>Serving Unit</x:v>
      </x:c>
      <x:c r="T1" s="143" t="str">
        <x:v>Flavor</x:v>
      </x:c>
      <x:c r="U1" s="143" t="str">
        <x:v>Description</x:v>
      </x:c>
      <x:c r="V1" s="143" t="str">
        <x:v>WA Retail Price (USD)</x:v>
      </x:c>
      <x:c r="W1" s="143" t="str">
        <x:v>Price Basis</x:v>
      </x:c>
      <x:c r="X1" s="143" t="str">
        <x:v>Price Source</x:v>
      </x:c>
      <x:c r="Y1" s="143" t="str">
        <x:v>Net Qty Basis</x:v>
      </x:c>
      <x:c r="Z1" s="143" t="str">
        <x:v>Net Amount (US)</x:v>
      </x:c>
      <x:c r="AA1" s="143" t="str">
        <x:v>US Unit</x:v>
      </x:c>
      <x:c r="AB1" s="143" t="str">
        <x:v>Net Amount (Metric)</x:v>
      </x:c>
      <x:c r="AC1" s="143" t="str">
        <x:v>Metric Unit</x:v>
      </x:c>
      <x:c r="AD1" s="143" t="str">
        <x:v>Serving Amount (g)</x:v>
      </x:c>
      <x:c r="AE1" s="143" t="str">
        <x:v>Qty Confidence / Basis</x:v>
      </x:c>
      <x:c r="AF1" s="143" t="str">
        <x:v>Qty Source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173"/>
      <x:c r="K2" s="173"/>
      <x:c r="L2" s="173"/>
      <x:c r="M2" s="173"/>
      <x:c r="N2" s="173"/>
      <x:c r="O2" s="174"/>
      <x:c r="P2" s="175"/>
      <x:c r="Q2" s="176"/>
      <x:c r="R2" s="176"/>
      <x:c r="S2" s="51"/>
      <x:c r="T2" s="49"/>
      <x:c r="U2" s="121"/>
      <x:c r="V2" s="181"/>
      <x:c r="W2" s="53"/>
      <x:c r="X2" s="121"/>
      <x:c r="Y2" s="53"/>
      <x:c r="Z2" s="121"/>
      <x:c r="AA2"/>
      <x:c r="AB2" s="51"/>
      <x:c r="AC2"/>
      <x:c r="AD2" s="49"/>
      <x:c r="AE2" s="53"/>
      <x:c r="AF2" s="53"/>
    </x:row>
    <x:row r="3" ht="23" customHeight="1">
      <x:c r="A3" s="148" t="str">
        <x:v>THC PRODUCTS</x:v>
      </x:c>
      <x:c r="B3" s="148"/>
      <x:c r="C3" s="148"/>
      <x:c r="D3" s="148"/>
      <x:c r="E3" s="148"/>
      <x:c r="F3" s="148"/>
      <x:c r="G3" s="148"/>
      <x:c r="H3" s="148"/>
      <x:c r="I3" s="148"/>
      <x:c r="J3" s="177"/>
      <x:c r="K3" s="177"/>
      <x:c r="L3" s="177"/>
      <x:c r="M3" s="177"/>
      <x:c r="N3" s="177"/>
      <x:c r="O3" s="178"/>
      <x:c r="P3" s="177"/>
      <x:c r="Q3" s="178"/>
      <x:c r="R3" s="178"/>
      <x:c r="S3" s="152"/>
      <x:c r="T3" s="153"/>
      <x:c r="U3" s="139"/>
      <x:c r="V3" s="182"/>
      <x:c r="W3" s="149"/>
      <x:c r="X3" s="151"/>
      <x:c r="Y3" s="149"/>
      <x:c r="Z3" s="151"/>
      <x:c r="AA3" s="148"/>
      <x:c r="AB3" s="152"/>
      <x:c r="AC3" s="148"/>
      <x:c r="AD3" s="153"/>
      <x:c r="AE3" s="149"/>
      <x:c r="AF3" s="149"/>
    </x:row>
    <x:row r="4">
      <x:c r="A4" s="165" t="str">
        <x:v>Ceres</x:v>
      </x:c>
      <x:c r="B4" s="165" t="str">
        <x:v>Blackberry Gummies</x:v>
      </x:c>
      <x:c r="C4" s="165" t="str">
        <x:v>Gummies</x:v>
      </x:c>
      <x:c r="D4" s="165" t="str">
        <x:v>THC</x:v>
      </x:c>
      <x:c r="E4" s="165" t="str">
        <x:v>Distillate</x:v>
      </x:c>
      <x:c r="F4" s="165" t="str">
        <x:v>Sativa</x:v>
      </x:c>
      <x:c r="G4" s="165"/>
      <x:c r="H4" s="165" t="str">
        <x:v>THC Only</x:v>
      </x:c>
      <x:c r="I4" s="165"/>
      <x:c r="J4" s="179" t="n">
        <x:v>10</x:v>
      </x:c>
      <x:c r="K4" s="179" t="n">
        <x:f>J4*R4</x:f>
        <x:v>100</x:v>
      </x:c>
      <x:c r="L4" s="179" t="n">
        <x:v>0</x:v>
      </x:c>
      <x:c r="M4" s="179" t="n">
        <x:f>L4*R4</x:f>
        <x:v>0</x:v>
      </x:c>
      <x:c r="N4" s="179" t="n">
        <x:v>0</x:v>
      </x:c>
      <x:c r="O4" s="180" t="n">
        <x:f>N4*R4</x:f>
        <x:v>0</x:v>
      </x:c>
      <x:c r="P4" s="179" t="n">
        <x:v>0</x:v>
      </x:c>
      <x:c r="Q4" s="180" t="n">
        <x:f>P4*R4</x:f>
        <x:v>0</x:v>
      </x:c>
      <x:c r="R4" s="180" t="n">
        <x:v>10</x:v>
      </x:c>
      <x:c r="S4" s="169" t="str">
        <x:v>1 gummy</x:v>
      </x:c>
      <x:c r="T4" s="170" t="str">
        <x:v>Blackberry</x:v>
      </x:c>
      <x:c r="U4" s="141" t="str">
        <x:v>Juicy blackberry gummies with a clean berry finish, pairing a straightforward distillate base with Ceres’ bright sativa positioning.</x:v>
      </x:c>
      <x:c r="V4" s="183" t="n">
        <x:v>20</x:v>
      </x:c>
      <x:c r="W4" s="166" t="str">
        <x:v>Current WA Ceres 100mg 10-pack retail anchor; exact gummies / distillate SKU may be a catalog mock extension</x:v>
      </x:c>
      <x:c r="X4" s="168" t="str">
        <x:v>https://greenrush.io/brands/ceres-garden/</x:v>
      </x:c>
      <x:c r="Y4" s="166" t="str">
        <x:v>Weight</x:v>
      </x:c>
      <x:c r="Z4" s="168" t="n">
        <x:f>IF(AB4="","",ROUNDDOWN(AB4/28.349523125,2))</x:f>
        <x:v>2.18</x:v>
      </x:c>
      <x:c r="AA4" s="165" t="str">
        <x:v>oz</x:v>
      </x:c>
      <x:c r="AB4" s="169" t="n">
        <x:v>62</x:v>
      </x:c>
      <x:c r="AC4" s="165" t="str">
        <x:v>g</x:v>
      </x:c>
      <x:c r="AD4" s="170" t="n">
        <x:f>IF(AND(ISNUMBER(AB4),ISNUMBER(R4),R4&gt;0),AB4/R4,"")</x:f>
        <x:v>6.2</x:v>
      </x:c>
      <x:c r="AE4" s="166" t="str">
        <x:v>Researched — Ceres 10-pack chews in WA traceability data</x:v>
      </x:c>
      <x:c r="AF4" s="166" t="str">
        <x:v>https://www.topshelfdata.com/wa/seattle/clutch-cannabis/leaf_product_purchases?business=Hannah+Industries&amp;from=2024-07-01</x:v>
      </x:c>
    </x:row>
    <x:row r="5">
      <x:c r="A5" s="165" t="str">
        <x:v>Ceres</x:v>
      </x:c>
      <x:c r="B5" s="165" t="str">
        <x:v>Blackberry Gummies</x:v>
      </x:c>
      <x:c r="C5" s="165" t="str">
        <x:v>Gummies</x:v>
      </x:c>
      <x:c r="D5" s="165" t="str">
        <x:v>THC</x:v>
      </x:c>
      <x:c r="E5" s="165" t="str">
        <x:v>Rosin</x:v>
      </x:c>
      <x:c r="F5" s="165" t="str">
        <x:v>Sativa</x:v>
      </x:c>
      <x:c r="G5" s="165"/>
      <x:c r="H5" s="165" t="str">
        <x:v>THC Only</x:v>
      </x:c>
      <x:c r="I5" s="165"/>
      <x:c r="J5" s="179" t="n">
        <x:v>10</x:v>
      </x:c>
      <x:c r="K5" s="179" t="n">
        <x:f>J5*R5</x:f>
        <x:v>100</x:v>
      </x:c>
      <x:c r="L5" s="179" t="n">
        <x:v>0</x:v>
      </x:c>
      <x:c r="M5" s="179" t="n">
        <x:f>L5*R5</x:f>
        <x:v>0</x:v>
      </x:c>
      <x:c r="N5" s="179" t="n">
        <x:v>0</x:v>
      </x:c>
      <x:c r="O5" s="180" t="n">
        <x:f>N5*R5</x:f>
        <x:v>0</x:v>
      </x:c>
      <x:c r="P5" s="179" t="n">
        <x:v>0</x:v>
      </x:c>
      <x:c r="Q5" s="180" t="n">
        <x:f>P5*R5</x:f>
        <x:v>0</x:v>
      </x:c>
      <x:c r="R5" s="180" t="n">
        <x:v>10</x:v>
      </x:c>
      <x:c r="S5" s="169" t="str">
        <x:v>1 gummy</x:v>
      </x:c>
      <x:c r="T5" s="170" t="str">
        <x:v>Blackberry</x:v>
      </x:c>
      <x:c r="U5" s="141" t="str">
        <x:v>Blackberry turns richer and slightly earthier here, with rosin giving the gummy a fuller cannabis-forward character beneath the fruit.</x:v>
      </x:c>
      <x:c r="V5" s="183" t="n">
        <x:v>23</x:v>
      </x:c>
      <x:c r="W5" s="166" t="str">
        <x:v>Current WA Ceres 100mg 10-pack retail anchor; exact gummies / rosin SKU may be a catalog mock extension</x:v>
      </x:c>
      <x:c r="X5" s="168" t="str">
        <x:v>https://greenrush.io/brands/ceres-garden/</x:v>
      </x:c>
      <x:c r="Y5" s="166" t="str">
        <x:v>Weight</x:v>
      </x:c>
      <x:c r="Z5" s="168" t="n">
        <x:f>IF(AB5="","",ROUNDDOWN(AB5/28.349523125,2))</x:f>
        <x:v>2.18</x:v>
      </x:c>
      <x:c r="AA5" s="165" t="str">
        <x:v>oz</x:v>
      </x:c>
      <x:c r="AB5" s="169" t="n">
        <x:v>62</x:v>
      </x:c>
      <x:c r="AC5" s="165" t="str">
        <x:v>g</x:v>
      </x:c>
      <x:c r="AD5" s="170" t="n">
        <x:f>IF(AND(ISNUMBER(AB5),ISNUMBER(R5),R5&gt;0),AB5/R5,"")</x:f>
        <x:v>6.2</x:v>
      </x:c>
      <x:c r="AE5" s="166" t="str">
        <x:v>Researched — Ceres 10-pack chews in WA traceability data</x:v>
      </x:c>
      <x:c r="AF5" s="166" t="str">
        <x:v>https://www.topshelfdata.com/wa/seattle/clutch-cannabis/leaf_product_purchases?business=Hannah+Industries&amp;from=2024-07-01</x:v>
      </x:c>
    </x:row>
    <x:row r="6">
      <x:c r="A6" s="165" t="str">
        <x:v>Ceres</x:v>
      </x:c>
      <x:c r="B6" s="165" t="str">
        <x:v>Huckleberry Gummies</x:v>
      </x:c>
      <x:c r="C6" s="165" t="str">
        <x:v>Gummies</x:v>
      </x:c>
      <x:c r="D6" s="165" t="str">
        <x:v>THC</x:v>
      </x:c>
      <x:c r="E6" s="165" t="str">
        <x:v>Distillate</x:v>
      </x:c>
      <x:c r="F6" s="165" t="str">
        <x:v>Indica</x:v>
      </x:c>
      <x:c r="G6" s="165"/>
      <x:c r="H6" s="165" t="str">
        <x:v>THC Only</x:v>
      </x:c>
      <x:c r="I6" s="165"/>
      <x:c r="J6" s="179" t="n">
        <x:v>10</x:v>
      </x:c>
      <x:c r="K6" s="179" t="n">
        <x:f>J6*R6</x:f>
        <x:v>100</x:v>
      </x:c>
      <x:c r="L6" s="179" t="n">
        <x:v>0</x:v>
      </x:c>
      <x:c r="M6" s="179" t="n">
        <x:f>L6*R6</x:f>
        <x:v>0</x:v>
      </x:c>
      <x:c r="N6" s="179" t="n">
        <x:v>0</x:v>
      </x:c>
      <x:c r="O6" s="180" t="n">
        <x:f>N6*R6</x:f>
        <x:v>0</x:v>
      </x:c>
      <x:c r="P6" s="179" t="n">
        <x:v>0</x:v>
      </x:c>
      <x:c r="Q6" s="180" t="n">
        <x:f>P6*R6</x:f>
        <x:v>0</x:v>
      </x:c>
      <x:c r="R6" s="180" t="n">
        <x:v>10</x:v>
      </x:c>
      <x:c r="S6" s="169" t="str">
        <x:v>1 gummy</x:v>
      </x:c>
      <x:c r="T6" s="170" t="str">
        <x:v>Huckleberry</x:v>
      </x:c>
      <x:c r="U6" s="141" t="str">
        <x:v>Dark huckleberry sweetness meets a simple distillate infusion in a soft gummy built around Ceres’ more laid-back indica side.</x:v>
      </x:c>
      <x:c r="V6" s="183" t="n">
        <x:v>20</x:v>
      </x:c>
      <x:c r="W6" s="166" t="str">
        <x:v>Current WA Ceres 100mg 10-pack retail anchor; exact gummies / distillate SKU may be a catalog mock extension</x:v>
      </x:c>
      <x:c r="X6" s="168" t="str">
        <x:v>https://greenrush.io/brands/ceres-garden/</x:v>
      </x:c>
      <x:c r="Y6" s="166" t="str">
        <x:v>Weight</x:v>
      </x:c>
      <x:c r="Z6" s="168" t="n">
        <x:f>IF(AB6="","",ROUNDDOWN(AB6/28.349523125,2))</x:f>
        <x:v>2.18</x:v>
      </x:c>
      <x:c r="AA6" s="165" t="str">
        <x:v>oz</x:v>
      </x:c>
      <x:c r="AB6" s="169" t="n">
        <x:v>62</x:v>
      </x:c>
      <x:c r="AC6" s="165" t="str">
        <x:v>g</x:v>
      </x:c>
      <x:c r="AD6" s="170" t="n">
        <x:f>IF(AND(ISNUMBER(AB6),ISNUMBER(R6),R6&gt;0),AB6/R6,"")</x:f>
        <x:v>6.2</x:v>
      </x:c>
      <x:c r="AE6" s="166" t="str">
        <x:v>Researched — Ceres 10-pack chews in WA traceability data</x:v>
      </x:c>
      <x:c r="AF6" s="166" t="str">
        <x:v>https://www.topshelfdata.com/wa/seattle/clutch-cannabis/leaf_product_purchases?business=Hannah+Industries&amp;from=2024-07-01</x:v>
      </x:c>
    </x:row>
    <x:row r="7">
      <x:c r="A7" s="165" t="str">
        <x:v>Ceres</x:v>
      </x:c>
      <x:c r="B7" s="165" t="str">
        <x:v>Pineapple Gummies</x:v>
      </x:c>
      <x:c r="C7" s="165" t="str">
        <x:v>Gummies</x:v>
      </x:c>
      <x:c r="D7" s="165" t="str">
        <x:v>THC</x:v>
      </x:c>
      <x:c r="E7" s="165" t="str">
        <x:v>Rosin</x:v>
      </x:c>
      <x:c r="F7" s="165" t="str">
        <x:v>Hybrid</x:v>
      </x:c>
      <x:c r="G7" s="165"/>
      <x:c r="H7" s="165" t="str">
        <x:v>THC Only</x:v>
      </x:c>
      <x:c r="I7" s="165"/>
      <x:c r="J7" s="179" t="n">
        <x:v>10</x:v>
      </x:c>
      <x:c r="K7" s="179" t="n">
        <x:f>J7*R7</x:f>
        <x:v>100</x:v>
      </x:c>
      <x:c r="L7" s="179" t="n">
        <x:v>0</x:v>
      </x:c>
      <x:c r="M7" s="179" t="n">
        <x:f>L7*R7</x:f>
        <x:v>0</x:v>
      </x:c>
      <x:c r="N7" s="179" t="n">
        <x:v>0</x:v>
      </x:c>
      <x:c r="O7" s="180" t="n">
        <x:f>N7*R7</x:f>
        <x:v>0</x:v>
      </x:c>
      <x:c r="P7" s="179" t="n">
        <x:v>0</x:v>
      </x:c>
      <x:c r="Q7" s="180" t="n">
        <x:f>P7*R7</x:f>
        <x:v>0</x:v>
      </x:c>
      <x:c r="R7" s="180" t="n">
        <x:v>10</x:v>
      </x:c>
      <x:c r="S7" s="169" t="str">
        <x:v>1 gummy</x:v>
      </x:c>
      <x:c r="T7" s="170" t="str">
        <x:v>Pineapple</x:v>
      </x:c>
      <x:c r="U7" s="141" t="str">
        <x:v>Tart pineapple keeps this rosin gummy lively, balancing tropical sweetness with a rounder extract-driven finish.</x:v>
      </x:c>
      <x:c r="V7" s="183" t="n">
        <x:v>23</x:v>
      </x:c>
      <x:c r="W7" s="166" t="str">
        <x:v>Current WA Ceres 100mg 10-pack retail anchor; exact gummies / rosin SKU may be a catalog mock extension</x:v>
      </x:c>
      <x:c r="X7" s="168" t="str">
        <x:v>https://greenrush.io/brands/ceres-garden/</x:v>
      </x:c>
      <x:c r="Y7" s="166" t="str">
        <x:v>Weight</x:v>
      </x:c>
      <x:c r="Z7" s="168" t="n">
        <x:f>IF(AB7="","",ROUNDDOWN(AB7/28.349523125,2))</x:f>
        <x:v>2.18</x:v>
      </x:c>
      <x:c r="AA7" s="165" t="str">
        <x:v>oz</x:v>
      </x:c>
      <x:c r="AB7" s="169" t="n">
        <x:v>62</x:v>
      </x:c>
      <x:c r="AC7" s="165" t="str">
        <x:v>g</x:v>
      </x:c>
      <x:c r="AD7" s="170" t="n">
        <x:f>IF(AND(ISNUMBER(AB7),ISNUMBER(R7),R7&gt;0),AB7/R7,"")</x:f>
        <x:v>6.2</x:v>
      </x:c>
      <x:c r="AE7" s="166" t="str">
        <x:v>Researched — Ceres 10-pack chews in WA traceability data</x:v>
      </x:c>
      <x:c r="AF7" s="166" t="str">
        <x:v>https://www.topshelfdata.com/wa/seattle/clutch-cannabis/leaf_product_purchases?business=Hannah+Industries&amp;from=2024-07-01</x:v>
      </x:c>
    </x:row>
    <x:row r="8">
      <x:c r="A8" s="165" t="str">
        <x:v>Constellation</x:v>
      </x:c>
      <x:c r="B8" s="165" t="str">
        <x:v>Blood Orange Chocolate Squares</x:v>
      </x:c>
      <x:c r="C8" s="165" t="str">
        <x:v>Chocolate</x:v>
      </x:c>
      <x:c r="D8" s="165" t="str">
        <x:v>THC</x:v>
      </x:c>
      <x:c r="E8" s="165" t="str">
        <x:v>Live Resin</x:v>
      </x:c>
      <x:c r="F8" s="165" t="str">
        <x:v>Hybrid</x:v>
      </x:c>
      <x:c r="G8" s="165"/>
      <x:c r="H8" s="165" t="str">
        <x:v>THC Only</x:v>
      </x:c>
      <x:c r="I8" s="165"/>
      <x:c r="J8" s="179" t="n">
        <x:v>10</x:v>
      </x:c>
      <x:c r="K8" s="179" t="n">
        <x:f>J8*R8</x:f>
        <x:v>100</x:v>
      </x:c>
      <x:c r="L8" s="179" t="n">
        <x:v>0</x:v>
      </x:c>
      <x:c r="M8" s="179" t="n">
        <x:f>L8*R8</x:f>
        <x:v>0</x:v>
      </x:c>
      <x:c r="N8" s="179" t="n">
        <x:v>0</x:v>
      </x:c>
      <x:c r="O8" s="180" t="n">
        <x:f>N8*R8</x:f>
        <x:v>0</x:v>
      </x:c>
      <x:c r="P8" s="179" t="n">
        <x:v>0</x:v>
      </x:c>
      <x:c r="Q8" s="180" t="n">
        <x:f>P8*R8</x:f>
        <x:v>0</x:v>
      </x:c>
      <x:c r="R8" s="180" t="n">
        <x:v>10</x:v>
      </x:c>
      <x:c r="S8" s="169" t="str">
        <x:v>1 chocolate piece</x:v>
      </x:c>
      <x:c r="T8" s="170" t="str">
        <x:v>Blood Orange</x:v>
      </x:c>
      <x:c r="U8" s="141" t="str">
        <x:v>Bittersweet chocolate and sharp blood orange play against each other, with live resin adding a deeper aromatic edge to each square.</x:v>
      </x:c>
      <x:c r="V8" s="183" t="n">
        <x:v>20</x:v>
      </x:c>
      <x:c r="W8" s="166" t="str">
        <x:v>Representative WA brand pricing; exact chocolate / live resin SKU may be a catalog mock extension</x:v>
      </x:c>
      <x:c r="X8" s="168" t="str">
        <x:v>https://greenrush.io/brands/constellation-cannabis/</x:v>
      </x:c>
      <x:c r="Y8" s="166" t="str">
        <x:v>Weight</x:v>
      </x:c>
      <x:c r="Z8" s="168" t="n">
        <x:f>IF(AB8="","",ROUNDDOWN(AB8/28.349523125,2))</x:f>
        <x:v>3.52</x:v>
      </x:c>
      <x:c r="AA8" s="165" t="str">
        <x:v>oz</x:v>
      </x:c>
      <x:c r="AB8" s="169" t="n">
        <x:v>100</x:v>
      </x:c>
      <x:c r="AC8" s="165" t="str">
        <x:v>g</x:v>
      </x:c>
      <x:c r="AD8" s="170" t="n">
        <x:f>IF(AND(ISNUMBER(AB8),ISNUMBER(R8),R8&gt;0),AB8/R8,"")</x:f>
        <x:v>10</x:v>
      </x:c>
      <x:c r="AE8" s="166" t="str">
        <x:v>Estimated — exact SKU not found; comparable WA 10-piece chocolate/confection package</x:v>
      </x:c>
      <x:c r="AF8" s="166" t="str">
        <x:v>https://www.topshelfdata.com/wa/tacoma/the-gallery-parkland/leaf_product_purchases?business=Stryps&amp;from=2024-04-01</x:v>
      </x:c>
    </x:row>
    <x:row r="9">
      <x:c r="A9" s="165" t="str">
        <x:v>Constellation</x:v>
      </x:c>
      <x:c r="B9" s="165" t="str">
        <x:v>Blood Orange Chocolate Squares</x:v>
      </x:c>
      <x:c r="C9" s="165" t="str">
        <x:v>Chocolate</x:v>
      </x:c>
      <x:c r="D9" s="165" t="str">
        <x:v>THC</x:v>
      </x:c>
      <x:c r="E9" s="165" t="str">
        <x:v>Live Rosin</x:v>
      </x:c>
      <x:c r="F9" s="165" t="str">
        <x:v>Hybrid</x:v>
      </x:c>
      <x:c r="G9" s="165"/>
      <x:c r="H9" s="165" t="str">
        <x:v>THC Only</x:v>
      </x:c>
      <x:c r="I9" s="165"/>
      <x:c r="J9" s="179" t="n">
        <x:v>10</x:v>
      </x:c>
      <x:c r="K9" s="179" t="n">
        <x:f>J9*R9</x:f>
        <x:v>100</x:v>
      </x:c>
      <x:c r="L9" s="179" t="n">
        <x:v>0</x:v>
      </x:c>
      <x:c r="M9" s="179" t="n">
        <x:f>L9*R9</x:f>
        <x:v>0</x:v>
      </x:c>
      <x:c r="N9" s="179" t="n">
        <x:v>0</x:v>
      </x:c>
      <x:c r="O9" s="180" t="n">
        <x:f>N9*R9</x:f>
        <x:v>0</x:v>
      </x:c>
      <x:c r="P9" s="179" t="n">
        <x:v>0</x:v>
      </x:c>
      <x:c r="Q9" s="180" t="n">
        <x:f>P9*R9</x:f>
        <x:v>0</x:v>
      </x:c>
      <x:c r="R9" s="180" t="n">
        <x:v>10</x:v>
      </x:c>
      <x:c r="S9" s="169" t="str">
        <x:v>1 chocolate piece</x:v>
      </x:c>
      <x:c r="T9" s="170" t="str">
        <x:v>Blood Orange</x:v>
      </x:c>
      <x:c r="U9" s="141" t="str">
        <x:v>Blood orange cuts through the cocoa with a bright citrus snap, while live rosin gives the chocolate a softer, more rounded finish.</x:v>
      </x:c>
      <x:c r="V9" s="183" t="n">
        <x:v>24</x:v>
      </x:c>
      <x:c r="W9" s="166" t="str">
        <x:v>Representative WA brand pricing; exact chocolate / live rosin SKU may be a catalog mock extension</x:v>
      </x:c>
      <x:c r="X9" s="168" t="str">
        <x:v>https://greenrush.io/brands/constellation-cannabis/</x:v>
      </x:c>
      <x:c r="Y9" s="166" t="str">
        <x:v>Weight</x:v>
      </x:c>
      <x:c r="Z9" s="168" t="n">
        <x:f>IF(AB9="","",ROUNDDOWN(AB9/28.349523125,2))</x:f>
        <x:v>3.52</x:v>
      </x:c>
      <x:c r="AA9" s="165" t="str">
        <x:v>oz</x:v>
      </x:c>
      <x:c r="AB9" s="169" t="n">
        <x:v>100</x:v>
      </x:c>
      <x:c r="AC9" s="165" t="str">
        <x:v>g</x:v>
      </x:c>
      <x:c r="AD9" s="170" t="n">
        <x:f>IF(AND(ISNUMBER(AB9),ISNUMBER(R9),R9&gt;0),AB9/R9,"")</x:f>
        <x:v>10</x:v>
      </x:c>
      <x:c r="AE9" s="166" t="str">
        <x:v>Estimated — exact SKU not found; comparable WA 10-piece chocolate/confection package</x:v>
      </x:c>
      <x:c r="AF9" s="166" t="str">
        <x:v>https://www.topshelfdata.com/wa/tacoma/the-gallery-parkland/leaf_product_purchases?business=Stryps&amp;from=2024-04-01</x:v>
      </x:c>
    </x:row>
    <x:row r="10">
      <x:c r="A10" s="165" t="str">
        <x:v>Constellation</x:v>
      </x:c>
      <x:c r="B10" s="165" t="str">
        <x:v>Lemon Chocolate Squares</x:v>
      </x:c>
      <x:c r="C10" s="165" t="str">
        <x:v>Chocolate</x:v>
      </x:c>
      <x:c r="D10" s="165" t="str">
        <x:v>THC</x:v>
      </x:c>
      <x:c r="E10" s="165" t="str">
        <x:v>Live Resin</x:v>
      </x:c>
      <x:c r="F10" s="165" t="str">
        <x:v>Sativa</x:v>
      </x:c>
      <x:c r="G10" s="165"/>
      <x:c r="H10" s="165" t="str">
        <x:v>THC Only</x:v>
      </x:c>
      <x:c r="I10" s="165"/>
      <x:c r="J10" s="179" t="n">
        <x:v>10</x:v>
      </x:c>
      <x:c r="K10" s="179" t="n">
        <x:f>J10*R10</x:f>
        <x:v>100</x:v>
      </x:c>
      <x:c r="L10" s="179" t="n">
        <x:v>0</x:v>
      </x:c>
      <x:c r="M10" s="179" t="n">
        <x:f>L10*R10</x:f>
        <x:v>0</x:v>
      </x:c>
      <x:c r="N10" s="179" t="n">
        <x:v>0</x:v>
      </x:c>
      <x:c r="O10" s="180" t="n">
        <x:f>N10*R10</x:f>
        <x:v>0</x:v>
      </x:c>
      <x:c r="P10" s="179" t="n">
        <x:v>0</x:v>
      </x:c>
      <x:c r="Q10" s="180" t="n">
        <x:f>P10*R10</x:f>
        <x:v>0</x:v>
      </x:c>
      <x:c r="R10" s="180" t="n">
        <x:v>10</x:v>
      </x:c>
      <x:c r="S10" s="169" t="str">
        <x:v>1 chocolate piece</x:v>
      </x:c>
      <x:c r="T10" s="170" t="str">
        <x:v>Lemon</x:v>
      </x:c>
      <x:c r="U10" s="141" t="str">
        <x:v>Lemon lifts the richness of the chocolate, creating a crisp citrus-cocoa contrast around a live resin infusion.</x:v>
      </x:c>
      <x:c r="V10" s="183" t="n">
        <x:v>20</x:v>
      </x:c>
      <x:c r="W10" s="166" t="str">
        <x:v>Representative WA brand pricing; exact chocolate / live resin SKU may be a catalog mock extension</x:v>
      </x:c>
      <x:c r="X10" s="168" t="str">
        <x:v>https://greenrush.io/brands/constellation-cannabis/</x:v>
      </x:c>
      <x:c r="Y10" s="166" t="str">
        <x:v>Weight</x:v>
      </x:c>
      <x:c r="Z10" s="168" t="n">
        <x:f>IF(AB10="","",ROUNDDOWN(AB10/28.349523125,2))</x:f>
        <x:v>3.52</x:v>
      </x:c>
      <x:c r="AA10" s="165" t="str">
        <x:v>oz</x:v>
      </x:c>
      <x:c r="AB10" s="169" t="n">
        <x:v>100</x:v>
      </x:c>
      <x:c r="AC10" s="165" t="str">
        <x:v>g</x:v>
      </x:c>
      <x:c r="AD10" s="170" t="n">
        <x:f>IF(AND(ISNUMBER(AB10),ISNUMBER(R10),R10&gt;0),AB10/R10,"")</x:f>
        <x:v>10</x:v>
      </x:c>
      <x:c r="AE10" s="166" t="str">
        <x:v>Estimated — exact SKU not found; comparable WA 10-piece chocolate/confection package</x:v>
      </x:c>
      <x:c r="AF10" s="166" t="str">
        <x:v>https://www.topshelfdata.com/wa/tacoma/the-gallery-parkland/leaf_product_purchases?business=Stryps&amp;from=2024-04-01</x:v>
      </x:c>
    </x:row>
    <x:row r="11">
      <x:c r="A11" s="165" t="str">
        <x:v>Constellation</x:v>
      </x:c>
      <x:c r="B11" s="165" t="str">
        <x:v>Raspberry Chocolate Squares</x:v>
      </x:c>
      <x:c r="C11" s="165" t="str">
        <x:v>Chocolate</x:v>
      </x:c>
      <x:c r="D11" s="165" t="str">
        <x:v>THC</x:v>
      </x:c>
      <x:c r="E11" s="165" t="str">
        <x:v>Live Rosin</x:v>
      </x:c>
      <x:c r="F11" s="165" t="str">
        <x:v>Indica</x:v>
      </x:c>
      <x:c r="G11" s="165"/>
      <x:c r="H11" s="165" t="str">
        <x:v>THC Only</x:v>
      </x:c>
      <x:c r="I11" s="165"/>
      <x:c r="J11" s="179" t="n">
        <x:v>10</x:v>
      </x:c>
      <x:c r="K11" s="179" t="n">
        <x:f>J11*R11</x:f>
        <x:v>100</x:v>
      </x:c>
      <x:c r="L11" s="179" t="n">
        <x:v>0</x:v>
      </x:c>
      <x:c r="M11" s="179" t="n">
        <x:f>L11*R11</x:f>
        <x:v>0</x:v>
      </x:c>
      <x:c r="N11" s="179" t="n">
        <x:v>0</x:v>
      </x:c>
      <x:c r="O11" s="180" t="n">
        <x:f>N11*R11</x:f>
        <x:v>0</x:v>
      </x:c>
      <x:c r="P11" s="179" t="n">
        <x:v>0</x:v>
      </x:c>
      <x:c r="Q11" s="180" t="n">
        <x:f>P11*R11</x:f>
        <x:v>0</x:v>
      </x:c>
      <x:c r="R11" s="180" t="n">
        <x:v>10</x:v>
      </x:c>
      <x:c r="S11" s="169" t="str">
        <x:v>1 chocolate piece</x:v>
      </x:c>
      <x:c r="T11" s="170" t="str">
        <x:v>Raspberry</x:v>
      </x:c>
      <x:c r="U11" s="141" t="str">
        <x:v>Ripe raspberry softens into dark chocolate, with live rosin adding a dense, fruit-forward finish to the square.</x:v>
      </x:c>
      <x:c r="V11" s="183" t="n">
        <x:v>24</x:v>
      </x:c>
      <x:c r="W11" s="166" t="str">
        <x:v>Representative WA brand pricing; exact chocolate / live rosin SKU may be a catalog mock extension</x:v>
      </x:c>
      <x:c r="X11" s="168" t="str">
        <x:v>https://greenrush.io/brands/constellation-cannabis/</x:v>
      </x:c>
      <x:c r="Y11" s="166" t="str">
        <x:v>Weight</x:v>
      </x:c>
      <x:c r="Z11" s="168" t="n">
        <x:f>IF(AB11="","",ROUNDDOWN(AB11/28.349523125,2))</x:f>
        <x:v>3.52</x:v>
      </x:c>
      <x:c r="AA11" s="165" t="str">
        <x:v>oz</x:v>
      </x:c>
      <x:c r="AB11" s="169" t="n">
        <x:v>100</x:v>
      </x:c>
      <x:c r="AC11" s="165" t="str">
        <x:v>g</x:v>
      </x:c>
      <x:c r="AD11" s="170" t="n">
        <x:f>IF(AND(ISNUMBER(AB11),ISNUMBER(R11),R11&gt;0),AB11/R11,"")</x:f>
        <x:v>10</x:v>
      </x:c>
      <x:c r="AE11" s="166" t="str">
        <x:v>Estimated — exact SKU not found; comparable WA 10-piece chocolate/confection package</x:v>
      </x:c>
      <x:c r="AF11" s="166" t="str">
        <x:v>https://www.topshelfdata.com/wa/tacoma/the-gallery-parkland/leaf_product_purchases?business=Stryps&amp;from=2024-04-01</x:v>
      </x:c>
    </x:row>
    <x:row r="12">
      <x:c r="A12" s="165" t="str">
        <x:v>Good Tide</x:v>
      </x:c>
      <x:c r="B12" s="165" t="str">
        <x:v>Blue Raspberry Fruit Drops</x:v>
      </x:c>
      <x:c r="C12" s="165" t="str">
        <x:v>Hard Candy</x:v>
      </x:c>
      <x:c r="D12" s="165" t="str">
        <x:v>THC</x:v>
      </x:c>
      <x:c r="E12" s="165" t="str">
        <x:v>Rosin</x:v>
      </x:c>
      <x:c r="F12" s="165" t="str">
        <x:v>Indica</x:v>
      </x:c>
      <x:c r="G12" s="165"/>
      <x:c r="H12" s="165" t="str">
        <x:v>THC Only</x:v>
      </x:c>
      <x:c r="I12" s="165"/>
      <x:c r="J12" s="179" t="n">
        <x:v>10</x:v>
      </x:c>
      <x:c r="K12" s="179" t="n">
        <x:f>J12*R12</x:f>
        <x:v>100</x:v>
      </x:c>
      <x:c r="L12" s="179" t="n">
        <x:v>0</x:v>
      </x:c>
      <x:c r="M12" s="179" t="n">
        <x:f>L12*R12</x:f>
        <x:v>0</x:v>
      </x:c>
      <x:c r="N12" s="179" t="n">
        <x:v>0</x:v>
      </x:c>
      <x:c r="O12" s="180" t="n">
        <x:f>N12*R12</x:f>
        <x:v>0</x:v>
      </x:c>
      <x:c r="P12" s="179" t="n">
        <x:v>0</x:v>
      </x:c>
      <x:c r="Q12" s="180" t="n">
        <x:f>P12*R12</x:f>
        <x:v>0</x:v>
      </x:c>
      <x:c r="R12" s="180" t="n">
        <x:v>10</x:v>
      </x:c>
      <x:c r="S12" s="169" t="str">
        <x:v>1 candy</x:v>
      </x:c>
      <x:c r="T12" s="170" t="str">
        <x:v>Blue Raspberry</x:v>
      </x:c>
      <x:c r="U12" s="141" t="str">
        <x:v>Blue raspberry starts tart and candy-bright before settling into a slower rosin finish as the drop dissolves.</x:v>
      </x:c>
      <x:c r="V12" s="183" t="n">
        <x:v>30</x:v>
      </x:c>
      <x:c r="W12" s="166" t="str">
        <x:v>Representative WA brand pricing; exact hard candy / rosin SKU may be a catalog mock extension</x:v>
      </x:c>
      <x:c r="X12" s="168" t="str">
        <x:v>https://www.washingtonweedstores.com/brands/Good-Tide</x:v>
      </x:c>
      <x:c r="Y12" s="166" t="str">
        <x:v>Weight</x:v>
      </x:c>
      <x:c r="Z12" s="168" t="n">
        <x:f>IF(AB12="","",ROUNDDOWN(AB12/28.349523125,2))</x:f>
        <x:v>1.41</x:v>
      </x:c>
      <x:c r="AA12" s="165" t="str">
        <x:v>oz</x:v>
      </x:c>
      <x:c r="AB12" s="169" t="n">
        <x:v>40</x:v>
      </x:c>
      <x:c r="AC12" s="165" t="str">
        <x:v>g</x:v>
      </x:c>
      <x:c r="AD12" s="170" t="n">
        <x:f>IF(AND(ISNUMBER(AB12),ISNUMBER(R12),R12&gt;0),AB12/R12,"")</x:f>
        <x:v>4</x:v>
      </x:c>
      <x:c r="AE12" s="166" t="str">
        <x:v>Estimated — synthetic hard-candy SKU; comparable 10-count edible package</x:v>
      </x:c>
      <x:c r="AF12" s="166" t="str">
        <x:v>https://weedmaps.com/brands/good-tide/products/good-tide-kiwi-strawberry-solventless-hass-rosin-gummies-refreshing</x:v>
      </x:c>
    </x:row>
    <x:row r="13">
      <x:c r="A13" s="165" t="str">
        <x:v>Good Tide</x:v>
      </x:c>
      <x:c r="B13" s="165" t="str">
        <x:v>Blue Raspberry Fruit Drops</x:v>
      </x:c>
      <x:c r="C13" s="165" t="str">
        <x:v>Hard Candy</x:v>
      </x:c>
      <x:c r="D13" s="165" t="str">
        <x:v>THC</x:v>
      </x:c>
      <x:c r="E13" s="165" t="str">
        <x:v>Distillate</x:v>
      </x:c>
      <x:c r="F13" s="165" t="str">
        <x:v>Indica</x:v>
      </x:c>
      <x:c r="G13" s="165"/>
      <x:c r="H13" s="165" t="str">
        <x:v>THC Only</x:v>
      </x:c>
      <x:c r="I13" s="165"/>
      <x:c r="J13" s="179" t="n">
        <x:v>10</x:v>
      </x:c>
      <x:c r="K13" s="179" t="n">
        <x:f>J13*R13</x:f>
        <x:v>100</x:v>
      </x:c>
      <x:c r="L13" s="179" t="n">
        <x:v>0</x:v>
      </x:c>
      <x:c r="M13" s="179" t="n">
        <x:f>L13*R13</x:f>
        <x:v>0</x:v>
      </x:c>
      <x:c r="N13" s="179" t="n">
        <x:v>0</x:v>
      </x:c>
      <x:c r="O13" s="180" t="n">
        <x:f>N13*R13</x:f>
        <x:v>0</x:v>
      </x:c>
      <x:c r="P13" s="179" t="n">
        <x:v>0</x:v>
      </x:c>
      <x:c r="Q13" s="180" t="n">
        <x:f>P13*R13</x:f>
        <x:v>0</x:v>
      </x:c>
      <x:c r="R13" s="180" t="n">
        <x:v>10</x:v>
      </x:c>
      <x:c r="S13" s="169" t="str">
        <x:v>1 candy</x:v>
      </x:c>
      <x:c r="T13" s="170" t="str">
        <x:v>Blue Raspberry</x:v>
      </x:c>
      <x:c r="U13" s="141" t="str">
        <x:v>A sharper blue raspberry profile keeps this distillate fruit drop simple, punchy, and familiar from start to finish.</x:v>
      </x:c>
      <x:c r="V13" s="183" t="n">
        <x:v>25</x:v>
      </x:c>
      <x:c r="W13" s="166" t="str">
        <x:v>Representative WA brand pricing; exact hard candy / distillate SKU may be a catalog mock extension</x:v>
      </x:c>
      <x:c r="X13" s="168" t="str">
        <x:v>https://www.washingtonweedstores.com/brands/Good-Tide</x:v>
      </x:c>
      <x:c r="Y13" s="166" t="str">
        <x:v>Weight</x:v>
      </x:c>
      <x:c r="Z13" s="168" t="n">
        <x:f>IF(AB13="","",ROUNDDOWN(AB13/28.349523125,2))</x:f>
        <x:v>1.41</x:v>
      </x:c>
      <x:c r="AA13" s="165" t="str">
        <x:v>oz</x:v>
      </x:c>
      <x:c r="AB13" s="169" t="n">
        <x:v>40</x:v>
      </x:c>
      <x:c r="AC13" s="165" t="str">
        <x:v>g</x:v>
      </x:c>
      <x:c r="AD13" s="170" t="n">
        <x:f>IF(AND(ISNUMBER(AB13),ISNUMBER(R13),R13&gt;0),AB13/R13,"")</x:f>
        <x:v>4</x:v>
      </x:c>
      <x:c r="AE13" s="166" t="str">
        <x:v>Estimated — synthetic hard-candy SKU; comparable 10-count edible package</x:v>
      </x:c>
      <x:c r="AF13" s="166" t="str">
        <x:v>https://weedmaps.com/brands/good-tide/products/good-tide-kiwi-strawberry-solventless-hass-rosin-gummies-refreshing</x:v>
      </x:c>
    </x:row>
    <x:row r="14">
      <x:c r="A14" s="165" t="str">
        <x:v>Good Tide</x:v>
      </x:c>
      <x:c r="B14" s="165" t="str">
        <x:v>Mango Fruit Drops</x:v>
      </x:c>
      <x:c r="C14" s="165" t="str">
        <x:v>Hard Candy</x:v>
      </x:c>
      <x:c r="D14" s="165" t="str">
        <x:v>THC</x:v>
      </x:c>
      <x:c r="E14" s="165" t="str">
        <x:v>Rosin</x:v>
      </x:c>
      <x:c r="F14" s="165" t="str">
        <x:v>Hybrid</x:v>
      </x:c>
      <x:c r="G14" s="165"/>
      <x:c r="H14" s="165" t="str">
        <x:v>THC Only</x:v>
      </x:c>
      <x:c r="I14" s="165"/>
      <x:c r="J14" s="179" t="n">
        <x:v>10</x:v>
      </x:c>
      <x:c r="K14" s="179" t="n">
        <x:f>J14*R14</x:f>
        <x:v>100</x:v>
      </x:c>
      <x:c r="L14" s="179" t="n">
        <x:v>0</x:v>
      </x:c>
      <x:c r="M14" s="179" t="n">
        <x:f>L14*R14</x:f>
        <x:v>0</x:v>
      </x:c>
      <x:c r="N14" s="179" t="n">
        <x:v>0</x:v>
      </x:c>
      <x:c r="O14" s="180" t="n">
        <x:f>N14*R14</x:f>
        <x:v>0</x:v>
      </x:c>
      <x:c r="P14" s="179" t="n">
        <x:v>0</x:v>
      </x:c>
      <x:c r="Q14" s="180" t="n">
        <x:f>P14*R14</x:f>
        <x:v>0</x:v>
      </x:c>
      <x:c r="R14" s="180" t="n">
        <x:v>10</x:v>
      </x:c>
      <x:c r="S14" s="169" t="str">
        <x:v>1 candy</x:v>
      </x:c>
      <x:c r="T14" s="170" t="str">
        <x:v>Mango</x:v>
      </x:c>
      <x:c r="U14" s="141" t="str">
        <x:v>Mango brings a ripe tropical sweetness to a slow-dissolving rosin drop with a fuller, slightly resinous finish.</x:v>
      </x:c>
      <x:c r="V14" s="183" t="n">
        <x:v>30</x:v>
      </x:c>
      <x:c r="W14" s="166" t="str">
        <x:v>Representative WA brand pricing; exact hard candy / rosin SKU may be a catalog mock extension</x:v>
      </x:c>
      <x:c r="X14" s="168" t="str">
        <x:v>https://www.washingtonweedstores.com/brands/Good-Tide</x:v>
      </x:c>
      <x:c r="Y14" s="166" t="str">
        <x:v>Weight</x:v>
      </x:c>
      <x:c r="Z14" s="168" t="n">
        <x:f>IF(AB14="","",ROUNDDOWN(AB14/28.349523125,2))</x:f>
        <x:v>1.41</x:v>
      </x:c>
      <x:c r="AA14" s="165" t="str">
        <x:v>oz</x:v>
      </x:c>
      <x:c r="AB14" s="169" t="n">
        <x:v>40</x:v>
      </x:c>
      <x:c r="AC14" s="165" t="str">
        <x:v>g</x:v>
      </x:c>
      <x:c r="AD14" s="170" t="n">
        <x:f>IF(AND(ISNUMBER(AB14),ISNUMBER(R14),R14&gt;0),AB14/R14,"")</x:f>
        <x:v>4</x:v>
      </x:c>
      <x:c r="AE14" s="166" t="str">
        <x:v>Estimated — synthetic hard-candy SKU; comparable 10-count edible package</x:v>
      </x:c>
      <x:c r="AF14" s="166" t="str">
        <x:v>https://weedmaps.com/brands/good-tide/products/good-tide-kiwi-strawberry-solventless-hass-rosin-gummies-refreshing</x:v>
      </x:c>
    </x:row>
    <x:row r="15">
      <x:c r="A15" s="165" t="str">
        <x:v>Good Tide</x:v>
      </x:c>
      <x:c r="B15" s="165" t="str">
        <x:v>Strawberry Fruit Drops</x:v>
      </x:c>
      <x:c r="C15" s="165" t="str">
        <x:v>Hard Candy</x:v>
      </x:c>
      <x:c r="D15" s="165" t="str">
        <x:v>THC</x:v>
      </x:c>
      <x:c r="E15" s="165" t="str">
        <x:v>Distillate</x:v>
      </x:c>
      <x:c r="F15" s="165" t="str">
        <x:v>Sativa</x:v>
      </x:c>
      <x:c r="G15" s="165"/>
      <x:c r="H15" s="165" t="str">
        <x:v>THC Only</x:v>
      </x:c>
      <x:c r="I15" s="165"/>
      <x:c r="J15" s="179" t="n">
        <x:v>10</x:v>
      </x:c>
      <x:c r="K15" s="179" t="n">
        <x:f>J15*R15</x:f>
        <x:v>100</x:v>
      </x:c>
      <x:c r="L15" s="179" t="n">
        <x:v>0</x:v>
      </x:c>
      <x:c r="M15" s="179" t="n">
        <x:f>L15*R15</x:f>
        <x:v>0</x:v>
      </x:c>
      <x:c r="N15" s="179" t="n">
        <x:v>0</x:v>
      </x:c>
      <x:c r="O15" s="180" t="n">
        <x:f>N15*R15</x:f>
        <x:v>0</x:v>
      </x:c>
      <x:c r="P15" s="179" t="n">
        <x:v>0</x:v>
      </x:c>
      <x:c r="Q15" s="180" t="n">
        <x:f>P15*R15</x:f>
        <x:v>0</x:v>
      </x:c>
      <x:c r="R15" s="180" t="n">
        <x:v>10</x:v>
      </x:c>
      <x:c r="S15" s="169" t="str">
        <x:v>1 candy</x:v>
      </x:c>
      <x:c r="T15" s="170" t="str">
        <x:v>Strawberry</x:v>
      </x:c>
      <x:c r="U15" s="141" t="str">
        <x:v>Strawberry stays bright and straightforward in this distillate fruit drop, with a clean candy finish and no heavy aftertaste.</x:v>
      </x:c>
      <x:c r="V15" s="183" t="n">
        <x:v>25</x:v>
      </x:c>
      <x:c r="W15" s="166" t="str">
        <x:v>Representative WA brand pricing; exact hard candy / distillate SKU may be a catalog mock extension</x:v>
      </x:c>
      <x:c r="X15" s="168" t="str">
        <x:v>https://www.washingtonweedstores.com/brands/Good-Tide</x:v>
      </x:c>
      <x:c r="Y15" s="166" t="str">
        <x:v>Weight</x:v>
      </x:c>
      <x:c r="Z15" s="168" t="n">
        <x:f>IF(AB15="","",ROUNDDOWN(AB15/28.349523125,2))</x:f>
        <x:v>1.41</x:v>
      </x:c>
      <x:c r="AA15" s="165" t="str">
        <x:v>oz</x:v>
      </x:c>
      <x:c r="AB15" s="169" t="n">
        <x:v>40</x:v>
      </x:c>
      <x:c r="AC15" s="165" t="str">
        <x:v>g</x:v>
      </x:c>
      <x:c r="AD15" s="170" t="n">
        <x:f>IF(AND(ISNUMBER(AB15),ISNUMBER(R15),R15&gt;0),AB15/R15,"")</x:f>
        <x:v>4</x:v>
      </x:c>
      <x:c r="AE15" s="166" t="str">
        <x:v>Estimated — synthetic hard-candy SKU; comparable 10-count edible package</x:v>
      </x:c>
      <x:c r="AF15" s="166" t="str">
        <x:v>https://weedmaps.com/brands/good-tide/products/good-tide-kiwi-strawberry-solventless-hass-rosin-gummies-refreshing</x:v>
      </x:c>
    </x:row>
    <x:row r="16">
      <x:c r="A16" s="165" t="str">
        <x:v>Green Revolution</x:v>
      </x:c>
      <x:c r="B16" s="165" t="str">
        <x:v>Cherry Lime Cookie Bites</x:v>
      </x:c>
      <x:c r="C16" s="165" t="str">
        <x:v>Baked Goods</x:v>
      </x:c>
      <x:c r="D16" s="165" t="str">
        <x:v>THC</x:v>
      </x:c>
      <x:c r="E16" s="165" t="str">
        <x:v>Live Rosin</x:v>
      </x:c>
      <x:c r="F16" s="165" t="str">
        <x:v>Sativa</x:v>
      </x:c>
      <x:c r="G16" s="165"/>
      <x:c r="H16" s="165" t="str">
        <x:v>THC Only</x:v>
      </x:c>
      <x:c r="I16" s="165"/>
      <x:c r="J16" s="179" t="n">
        <x:v>10</x:v>
      </x:c>
      <x:c r="K16" s="179" t="n">
        <x:f>J16*R16</x:f>
        <x:v>100</x:v>
      </x:c>
      <x:c r="L16" s="179" t="n">
        <x:v>0</x:v>
      </x:c>
      <x:c r="M16" s="179" t="n">
        <x:f>L16*R16</x:f>
        <x:v>0</x:v>
      </x:c>
      <x:c r="N16" s="179" t="n">
        <x:v>0</x:v>
      </x:c>
      <x:c r="O16" s="180" t="n">
        <x:f>N16*R16</x:f>
        <x:v>0</x:v>
      </x:c>
      <x:c r="P16" s="179" t="n">
        <x:v>0</x:v>
      </x:c>
      <x:c r="Q16" s="180" t="n">
        <x:f>P16*R16</x:f>
        <x:v>0</x:v>
      </x:c>
      <x:c r="R16" s="180" t="n">
        <x:v>10</x:v>
      </x:c>
      <x:c r="S16" s="169" t="str">
        <x:v>1 bite</x:v>
      </x:c>
      <x:c r="T16" s="170" t="str">
        <x:v>Cherry Lime</x:v>
      </x:c>
      <x:c r="U16" s="141" t="str">
        <x:v>Cherry and lime cut through a soft cookie bite, while live rosin adds depth beneath the sweet-tart baked profile.</x:v>
      </x:c>
      <x:c r="V16" s="183" t="n">
        <x:v>32</x:v>
      </x:c>
      <x:c r="W16" s="166" t="str">
        <x:v>Representative WA brand pricing; exact baked goods / live rosin SKU may be a catalog mock extension</x:v>
      </x:c>
      <x:c r="X16" s="168" t="str">
        <x:v>https://www.washingtonweedstores.com/brands/doozies</x:v>
      </x:c>
      <x:c r="Y16" s="166" t="str">
        <x:v>Weight</x:v>
      </x:c>
      <x:c r="Z16" s="168" t="n">
        <x:f>IF(AB16="","",ROUNDDOWN(AB16/28.349523125,2))</x:f>
        <x:v>3.52</x:v>
      </x:c>
      <x:c r="AA16" s="165" t="str">
        <x:v>oz</x:v>
      </x:c>
      <x:c r="AB16" s="169" t="n">
        <x:v>100</x:v>
      </x:c>
      <x:c r="AC16" s="165" t="str">
        <x:v>g</x:v>
      </x:c>
      <x:c r="AD16" s="170" t="n">
        <x:f>IF(AND(ISNUMBER(AB16),ISNUMBER(R16),R16&gt;0),AB16/R16,"")</x:f>
        <x:v>10</x:v>
      </x:c>
      <x:c r="AE16" s="166" t="str">
        <x:v>Estimated — exact baked SKU not found; aligned to comparable 10-serving WA confection package</x:v>
      </x:c>
      <x:c r="AF16" s="166" t="str">
        <x:v>https://www.topshelfdata.com/wa/bothell/herbal-nation/leaf_product_purchases?business=Harmony+Farms&amp;from=2024-02-01</x:v>
      </x:c>
    </x:row>
    <x:row r="17">
      <x:c r="A17" s="165" t="str">
        <x:v>Green Revolution</x:v>
      </x:c>
      <x:c r="B17" s="165" t="str">
        <x:v>Cherry Lime Cookie Bites</x:v>
      </x:c>
      <x:c r="C17" s="165" t="str">
        <x:v>Baked Goods</x:v>
      </x:c>
      <x:c r="D17" s="165" t="str">
        <x:v>THC</x:v>
      </x:c>
      <x:c r="E17" s="165" t="str">
        <x:v>Live Resin</x:v>
      </x:c>
      <x:c r="F17" s="165" t="str">
        <x:v>Sativa</x:v>
      </x:c>
      <x:c r="G17" s="165"/>
      <x:c r="H17" s="165" t="str">
        <x:v>THC Only</x:v>
      </x:c>
      <x:c r="I17" s="165"/>
      <x:c r="J17" s="179" t="n">
        <x:v>10</x:v>
      </x:c>
      <x:c r="K17" s="179" t="n">
        <x:f>J17*R17</x:f>
        <x:v>100</x:v>
      </x:c>
      <x:c r="L17" s="179" t="n">
        <x:v>0</x:v>
      </x:c>
      <x:c r="M17" s="179" t="n">
        <x:f>L17*R17</x:f>
        <x:v>0</x:v>
      </x:c>
      <x:c r="N17" s="179" t="n">
        <x:v>0</x:v>
      </x:c>
      <x:c r="O17" s="180" t="n">
        <x:f>N17*R17</x:f>
        <x:v>0</x:v>
      </x:c>
      <x:c r="P17" s="179" t="n">
        <x:v>0</x:v>
      </x:c>
      <x:c r="Q17" s="180" t="n">
        <x:f>P17*R17</x:f>
        <x:v>0</x:v>
      </x:c>
      <x:c r="R17" s="180" t="n">
        <x:v>10</x:v>
      </x:c>
      <x:c r="S17" s="169" t="str">
        <x:v>1 bite</x:v>
      </x:c>
      <x:c r="T17" s="170" t="str">
        <x:v>Cherry Lime</x:v>
      </x:c>
      <x:c r="U17" s="141" t="str">
        <x:v>A tangier cherry-lime bite built on live resin, with the citrus staying forward against the soft cookie base.</x:v>
      </x:c>
      <x:c r="V17" s="183" t="n">
        <x:v>28</x:v>
      </x:c>
      <x:c r="W17" s="166" t="str">
        <x:v>Representative WA brand pricing; exact baked goods / live resin SKU may be a catalog mock extension</x:v>
      </x:c>
      <x:c r="X17" s="168" t="str">
        <x:v>https://www.washingtonweedstores.com/brands/doozies</x:v>
      </x:c>
      <x:c r="Y17" s="166" t="str">
        <x:v>Weight</x:v>
      </x:c>
      <x:c r="Z17" s="168" t="n">
        <x:f>IF(AB17="","",ROUNDDOWN(AB17/28.349523125,2))</x:f>
        <x:v>3.52</x:v>
      </x:c>
      <x:c r="AA17" s="165" t="str">
        <x:v>oz</x:v>
      </x:c>
      <x:c r="AB17" s="169" t="n">
        <x:v>100</x:v>
      </x:c>
      <x:c r="AC17" s="165" t="str">
        <x:v>g</x:v>
      </x:c>
      <x:c r="AD17" s="170" t="n">
        <x:f>IF(AND(ISNUMBER(AB17),ISNUMBER(R17),R17&gt;0),AB17/R17,"")</x:f>
        <x:v>10</x:v>
      </x:c>
      <x:c r="AE17" s="166" t="str">
        <x:v>Estimated — exact baked SKU not found; aligned to comparable 10-serving WA confection package</x:v>
      </x:c>
      <x:c r="AF17" s="166" t="str">
        <x:v>https://www.topshelfdata.com/wa/bothell/herbal-nation/leaf_product_purchases?business=Harmony+Farms&amp;from=2024-02-01</x:v>
      </x:c>
    </x:row>
    <x:row r="18">
      <x:c r="A18" s="165" t="str">
        <x:v>Green Revolution</x:v>
      </x:c>
      <x:c r="B18" s="165" t="str">
        <x:v>Peach Cookie Bites</x:v>
      </x:c>
      <x:c r="C18" s="165" t="str">
        <x:v>Baked Goods</x:v>
      </x:c>
      <x:c r="D18" s="165" t="str">
        <x:v>THC</x:v>
      </x:c>
      <x:c r="E18" s="165" t="str">
        <x:v>Live Rosin</x:v>
      </x:c>
      <x:c r="F18" s="165" t="str">
        <x:v>Indica</x:v>
      </x:c>
      <x:c r="G18" s="165"/>
      <x:c r="H18" s="165" t="str">
        <x:v>THC Only</x:v>
      </x:c>
      <x:c r="I18" s="165"/>
      <x:c r="J18" s="179" t="n">
        <x:v>10</x:v>
      </x:c>
      <x:c r="K18" s="179" t="n">
        <x:f>J18*R18</x:f>
        <x:v>100</x:v>
      </x:c>
      <x:c r="L18" s="179" t="n">
        <x:v>0</x:v>
      </x:c>
      <x:c r="M18" s="179" t="n">
        <x:f>L18*R18</x:f>
        <x:v>0</x:v>
      </x:c>
      <x:c r="N18" s="179" t="n">
        <x:v>0</x:v>
      </x:c>
      <x:c r="O18" s="180" t="n">
        <x:f>N18*R18</x:f>
        <x:v>0</x:v>
      </x:c>
      <x:c r="P18" s="179" t="n">
        <x:v>0</x:v>
      </x:c>
      <x:c r="Q18" s="180" t="n">
        <x:f>P18*R18</x:f>
        <x:v>0</x:v>
      </x:c>
      <x:c r="R18" s="180" t="n">
        <x:v>10</x:v>
      </x:c>
      <x:c r="S18" s="169" t="str">
        <x:v>1 bite</x:v>
      </x:c>
      <x:c r="T18" s="170" t="str">
        <x:v>Peach</x:v>
      </x:c>
      <x:c r="U18" s="141" t="str">
        <x:v>Soft peach sweetness settles into a richer baked finish, with live rosin giving the cookie bite a little extra depth.</x:v>
      </x:c>
      <x:c r="V18" s="183" t="n">
        <x:v>32</x:v>
      </x:c>
      <x:c r="W18" s="166" t="str">
        <x:v>Representative WA brand pricing; exact baked goods / live rosin SKU may be a catalog mock extension</x:v>
      </x:c>
      <x:c r="X18" s="168" t="str">
        <x:v>https://www.washingtonweedstores.com/brands/doozies</x:v>
      </x:c>
      <x:c r="Y18" s="166" t="str">
        <x:v>Weight</x:v>
      </x:c>
      <x:c r="Z18" s="168" t="n">
        <x:f>IF(AB18="","",ROUNDDOWN(AB18/28.349523125,2))</x:f>
        <x:v>3.52</x:v>
      </x:c>
      <x:c r="AA18" s="165" t="str">
        <x:v>oz</x:v>
      </x:c>
      <x:c r="AB18" s="169" t="n">
        <x:v>100</x:v>
      </x:c>
      <x:c r="AC18" s="165" t="str">
        <x:v>g</x:v>
      </x:c>
      <x:c r="AD18" s="170" t="n">
        <x:f>IF(AND(ISNUMBER(AB18),ISNUMBER(R18),R18&gt;0),AB18/R18,"")</x:f>
        <x:v>10</x:v>
      </x:c>
      <x:c r="AE18" s="166" t="str">
        <x:v>Estimated — exact baked SKU not found; aligned to comparable 10-serving WA confection package</x:v>
      </x:c>
      <x:c r="AF18" s="166" t="str">
        <x:v>https://www.topshelfdata.com/wa/bothell/herbal-nation/leaf_product_purchases?business=Harmony+Farms&amp;from=2024-02-01</x:v>
      </x:c>
    </x:row>
    <x:row r="19">
      <x:c r="A19" s="165" t="str">
        <x:v>Green Revolution</x:v>
      </x:c>
      <x:c r="B19" s="165" t="str">
        <x:v>Tangerine Cookie Bites</x:v>
      </x:c>
      <x:c r="C19" s="165" t="str">
        <x:v>Baked Goods</x:v>
      </x:c>
      <x:c r="D19" s="165" t="str">
        <x:v>THC</x:v>
      </x:c>
      <x:c r="E19" s="165" t="str">
        <x:v>Live Resin</x:v>
      </x:c>
      <x:c r="F19" s="165" t="str">
        <x:v>Hybrid</x:v>
      </x:c>
      <x:c r="G19" s="165"/>
      <x:c r="H19" s="165" t="str">
        <x:v>THC Only</x:v>
      </x:c>
      <x:c r="I19" s="165"/>
      <x:c r="J19" s="179" t="n">
        <x:v>10</x:v>
      </x:c>
      <x:c r="K19" s="179" t="n">
        <x:f>J19*R19</x:f>
        <x:v>100</x:v>
      </x:c>
      <x:c r="L19" s="179" t="n">
        <x:v>0</x:v>
      </x:c>
      <x:c r="M19" s="179" t="n">
        <x:f>L19*R19</x:f>
        <x:v>0</x:v>
      </x:c>
      <x:c r="N19" s="179" t="n">
        <x:v>0</x:v>
      </x:c>
      <x:c r="O19" s="180" t="n">
        <x:f>N19*R19</x:f>
        <x:v>0</x:v>
      </x:c>
      <x:c r="P19" s="179" t="n">
        <x:v>0</x:v>
      </x:c>
      <x:c r="Q19" s="180" t="n">
        <x:f>P19*R19</x:f>
        <x:v>0</x:v>
      </x:c>
      <x:c r="R19" s="180" t="n">
        <x:v>10</x:v>
      </x:c>
      <x:c r="S19" s="169" t="str">
        <x:v>1 bite</x:v>
      </x:c>
      <x:c r="T19" s="170" t="str">
        <x:v>Tangerine</x:v>
      </x:c>
      <x:c r="U19" s="141" t="str">
        <x:v>Tangerine brightens the cookie base with a clean citrus note, while live resin keeps the finish aromatic without overpowering the bake.</x:v>
      </x:c>
      <x:c r="V19" s="183" t="n">
        <x:v>28</x:v>
      </x:c>
      <x:c r="W19" s="166" t="str">
        <x:v>Representative WA brand pricing; exact baked goods / live resin SKU may be a catalog mock extension</x:v>
      </x:c>
      <x:c r="X19" s="168" t="str">
        <x:v>https://www.washingtonweedstores.com/brands/doozies</x:v>
      </x:c>
      <x:c r="Y19" s="166" t="str">
        <x:v>Weight</x:v>
      </x:c>
      <x:c r="Z19" s="168" t="n">
        <x:f>IF(AB19="","",ROUNDDOWN(AB19/28.349523125,2))</x:f>
        <x:v>3.52</x:v>
      </x:c>
      <x:c r="AA19" s="165" t="str">
        <x:v>oz</x:v>
      </x:c>
      <x:c r="AB19" s="169" t="n">
        <x:v>100</x:v>
      </x:c>
      <x:c r="AC19" s="165" t="str">
        <x:v>g</x:v>
      </x:c>
      <x:c r="AD19" s="170" t="n">
        <x:f>IF(AND(ISNUMBER(AB19),ISNUMBER(R19),R19&gt;0),AB19/R19,"")</x:f>
        <x:v>10</x:v>
      </x:c>
      <x:c r="AE19" s="166" t="str">
        <x:v>Estimated — exact baked SKU not found; aligned to comparable 10-serving WA confection package</x:v>
      </x:c>
      <x:c r="AF19" s="166" t="str">
        <x:v>https://www.topshelfdata.com/wa/bothell/herbal-nation/leaf_product_purchases?business=Harmony+Farms&amp;from=2024-02-01</x:v>
      </x:c>
    </x:row>
    <x:row r="20">
      <x:c r="A20" s="165" t="str">
        <x:v>Journeyman</x:v>
      </x:c>
      <x:c r="B20" s="165" t="str">
        <x:v>Dark Chocolate Softgels</x:v>
      </x:c>
      <x:c r="C20" s="165" t="str">
        <x:v>Capsules</x:v>
      </x:c>
      <x:c r="D20" s="165" t="str">
        <x:v>THC</x:v>
      </x:c>
      <x:c r="E20" s="165" t="str">
        <x:v>Distillate</x:v>
      </x:c>
      <x:c r="F20" s="165" t="str">
        <x:v>Hybrid</x:v>
      </x:c>
      <x:c r="G20" s="165"/>
      <x:c r="H20" s="165" t="str">
        <x:v>THC Only</x:v>
      </x:c>
      <x:c r="I20" s="165"/>
      <x:c r="J20" s="179" t="n">
        <x:v>10</x:v>
      </x:c>
      <x:c r="K20" s="179" t="n">
        <x:f>J20*R20</x:f>
        <x:v>100</x:v>
      </x:c>
      <x:c r="L20" s="179" t="n">
        <x:v>0</x:v>
      </x:c>
      <x:c r="M20" s="179" t="n">
        <x:f>L20*R20</x:f>
        <x:v>0</x:v>
      </x:c>
      <x:c r="N20" s="179" t="n">
        <x:v>0</x:v>
      </x:c>
      <x:c r="O20" s="180" t="n">
        <x:f>N20*R20</x:f>
        <x:v>0</x:v>
      </x:c>
      <x:c r="P20" s="179" t="n">
        <x:v>0</x:v>
      </x:c>
      <x:c r="Q20" s="180" t="n">
        <x:f>P20*R20</x:f>
        <x:v>0</x:v>
      </x:c>
      <x:c r="R20" s="180" t="n">
        <x:v>10</x:v>
      </x:c>
      <x:c r="S20" s="169" t="str">
        <x:v>1 capsule</x:v>
      </x:c>
      <x:c r="T20" s="170" t="str">
        <x:v>Dark Chocolate</x:v>
      </x:c>
      <x:c r="U20" s="141" t="str">
        <x:v>A discreet, neutral softgel format using distillate for a simple THC-only option with no added flavor or sugary coating.</x:v>
      </x:c>
      <x:c r="V20" s="183" t="n">
        <x:v>25</x:v>
      </x:c>
      <x:c r="W20" s="166" t="str">
        <x:v>Representative WA brand pricing; exact capsules / distillate SKU may be a catalog mock extension</x:v>
      </x:c>
      <x:c r="X20" s="168" t="str">
        <x:v>https://www.washingtonweedstores.com/brands/Journeyman</x:v>
      </x:c>
      <x:c r="Y20" s="166" t="str">
        <x:v>Weight</x:v>
      </x:c>
      <x:c r="Z20" s="168" t="n">
        <x:f>IF(AB20="","",ROUNDDOWN(AB20/28.349523125,2))</x:f>
        <x:v>0.35</x:v>
      </x:c>
      <x:c r="AA20" s="165" t="str">
        <x:v>oz</x:v>
      </x:c>
      <x:c r="AB20" s="169" t="n">
        <x:v>10</x:v>
      </x:c>
      <x:c r="AC20" s="165" t="str">
        <x:v>g</x:v>
      </x:c>
      <x:c r="AD20" s="170" t="n">
        <x:f>IF(AND(ISNUMBER(AB20),ISNUMBER(R20),R20&gt;0),AB20/R20,"")</x:f>
        <x:v>1</x:v>
      </x:c>
      <x:c r="AE20" s="166" t="str">
        <x:v>Estimated — synthetic 10-count capsule package</x:v>
      </x:c>
      <x:c r="AF20" s="166" t="str">
        <x:v>https://www.topshelfdata.com/wa/shelton/sashas-cannabis/leaf_product_purchases?business=Fairwinds+Manufacturing&amp;from=2024-05-01</x:v>
      </x:c>
    </x:row>
    <x:row r="21">
      <x:c r="A21" s="165" t="str">
        <x:v>Journeyman</x:v>
      </x:c>
      <x:c r="B21" s="165" t="str">
        <x:v>Dark Chocolate Softgels</x:v>
      </x:c>
      <x:c r="C21" s="165" t="str">
        <x:v>Capsules</x:v>
      </x:c>
      <x:c r="D21" s="165" t="str">
        <x:v>THC</x:v>
      </x:c>
      <x:c r="E21" s="165" t="str">
        <x:v>Rosin</x:v>
      </x:c>
      <x:c r="F21" s="165" t="str">
        <x:v>Hybrid</x:v>
      </x:c>
      <x:c r="G21" s="165"/>
      <x:c r="H21" s="165" t="str">
        <x:v>THC Only</x:v>
      </x:c>
      <x:c r="I21" s="165"/>
      <x:c r="J21" s="179" t="n">
        <x:v>10</x:v>
      </x:c>
      <x:c r="K21" s="179" t="n">
        <x:f>J21*R21</x:f>
        <x:v>100</x:v>
      </x:c>
      <x:c r="L21" s="179" t="n">
        <x:v>0</x:v>
      </x:c>
      <x:c r="M21" s="179" t="n">
        <x:f>L21*R21</x:f>
        <x:v>0</x:v>
      </x:c>
      <x:c r="N21" s="179" t="n">
        <x:v>0</x:v>
      </x:c>
      <x:c r="O21" s="180" t="n">
        <x:f>N21*R21</x:f>
        <x:v>0</x:v>
      </x:c>
      <x:c r="P21" s="179" t="n">
        <x:v>0</x:v>
      </x:c>
      <x:c r="Q21" s="180" t="n">
        <x:f>P21*R21</x:f>
        <x:v>0</x:v>
      </x:c>
      <x:c r="R21" s="180" t="n">
        <x:v>10</x:v>
      </x:c>
      <x:c r="S21" s="169" t="str">
        <x:v>1 capsule</x:v>
      </x:c>
      <x:c r="T21" s="170" t="str">
        <x:v>Dark Chocolate</x:v>
      </x:c>
      <x:c r="U21" s="141" t="str">
        <x:v>Rosin gives this unflavored softgel a more premium extract profile while keeping the format compact, discreet, and easy to portion.</x:v>
      </x:c>
      <x:c r="V21" s="183" t="n">
        <x:v>32</x:v>
      </x:c>
      <x:c r="W21" s="166" t="str">
        <x:v>Representative WA brand pricing; exact capsules / rosin SKU may be a catalog mock extension</x:v>
      </x:c>
      <x:c r="X21" s="168" t="str">
        <x:v>https://www.washingtonweedstores.com/brands/Journeyman</x:v>
      </x:c>
      <x:c r="Y21" s="166" t="str">
        <x:v>Weight</x:v>
      </x:c>
      <x:c r="Z21" s="168" t="n">
        <x:f>IF(AB21="","",ROUNDDOWN(AB21/28.349523125,2))</x:f>
        <x:v>0.35</x:v>
      </x:c>
      <x:c r="AA21" s="165" t="str">
        <x:v>oz</x:v>
      </x:c>
      <x:c r="AB21" s="169" t="n">
        <x:v>10</x:v>
      </x:c>
      <x:c r="AC21" s="165" t="str">
        <x:v>g</x:v>
      </x:c>
      <x:c r="AD21" s="170" t="n">
        <x:f>IF(AND(ISNUMBER(AB21),ISNUMBER(R21),R21&gt;0),AB21/R21,"")</x:f>
        <x:v>1</x:v>
      </x:c>
      <x:c r="AE21" s="166" t="str">
        <x:v>Estimated — synthetic 10-count capsule package</x:v>
      </x:c>
      <x:c r="AF21" s="166" t="str">
        <x:v>https://www.topshelfdata.com/wa/shelton/sashas-cannabis/leaf_product_purchases?business=Fairwinds+Manufacturing&amp;from=2024-05-01</x:v>
      </x:c>
    </x:row>
    <x:row r="22">
      <x:c r="A22" s="165" t="str">
        <x:v>Journeyman</x:v>
      </x:c>
      <x:c r="B22" s="165" t="str">
        <x:v>Pear Softgels</x:v>
      </x:c>
      <x:c r="C22" s="165" t="str">
        <x:v>Capsules</x:v>
      </x:c>
      <x:c r="D22" s="165" t="str">
        <x:v>THC</x:v>
      </x:c>
      <x:c r="E22" s="165" t="str">
        <x:v>Distillate</x:v>
      </x:c>
      <x:c r="F22" s="165" t="str">
        <x:v>Sativa</x:v>
      </x:c>
      <x:c r="G22" s="165"/>
      <x:c r="H22" s="165" t="str">
        <x:v>THC Only</x:v>
      </x:c>
      <x:c r="I22" s="165"/>
      <x:c r="J22" s="179" t="n">
        <x:v>10</x:v>
      </x:c>
      <x:c r="K22" s="179" t="n">
        <x:f>J22*R22</x:f>
        <x:v>100</x:v>
      </x:c>
      <x:c r="L22" s="179" t="n">
        <x:v>0</x:v>
      </x:c>
      <x:c r="M22" s="179" t="n">
        <x:f>L22*R22</x:f>
        <x:v>0</x:v>
      </x:c>
      <x:c r="N22" s="179" t="n">
        <x:v>0</x:v>
      </x:c>
      <x:c r="O22" s="180" t="n">
        <x:f>N22*R22</x:f>
        <x:v>0</x:v>
      </x:c>
      <x:c r="P22" s="179" t="n">
        <x:v>0</x:v>
      </x:c>
      <x:c r="Q22" s="180" t="n">
        <x:f>P22*R22</x:f>
        <x:v>0</x:v>
      </x:c>
      <x:c r="R22" s="180" t="n">
        <x:v>10</x:v>
      </x:c>
      <x:c r="S22" s="169" t="str">
        <x:v>1 capsule</x:v>
      </x:c>
      <x:c r="T22" s="170" t="str">
        <x:v>Pear</x:v>
      </x:c>
      <x:c r="U22" s="141" t="str">
        <x:v>A clean distillate softgel with no added sweetness, using the pear naming cue while keeping the actual format neutral and simple.</x:v>
      </x:c>
      <x:c r="V22" s="183" t="n">
        <x:v>25</x:v>
      </x:c>
      <x:c r="W22" s="166" t="str">
        <x:v>Representative WA brand pricing; exact capsules / distillate SKU may be a catalog mock extension</x:v>
      </x:c>
      <x:c r="X22" s="168" t="str">
        <x:v>https://www.washingtonweedstores.com/brands/Journeyman</x:v>
      </x:c>
      <x:c r="Y22" s="166" t="str">
        <x:v>Weight</x:v>
      </x:c>
      <x:c r="Z22" s="168" t="n">
        <x:f>IF(AB22="","",ROUNDDOWN(AB22/28.349523125,2))</x:f>
        <x:v>0.35</x:v>
      </x:c>
      <x:c r="AA22" s="165" t="str">
        <x:v>oz</x:v>
      </x:c>
      <x:c r="AB22" s="169" t="n">
        <x:v>10</x:v>
      </x:c>
      <x:c r="AC22" s="165" t="str">
        <x:v>g</x:v>
      </x:c>
      <x:c r="AD22" s="170" t="n">
        <x:f>IF(AND(ISNUMBER(AB22),ISNUMBER(R22),R22&gt;0),AB22/R22,"")</x:f>
        <x:v>1</x:v>
      </x:c>
      <x:c r="AE22" s="166" t="str">
        <x:v>Estimated — synthetic 10-count capsule package</x:v>
      </x:c>
      <x:c r="AF22" s="166" t="str">
        <x:v>https://www.topshelfdata.com/wa/shelton/sashas-cannabis/leaf_product_purchases?business=Fairwinds+Manufacturing&amp;from=2024-05-01</x:v>
      </x:c>
    </x:row>
    <x:row r="23">
      <x:c r="A23" s="165" t="str">
        <x:v>Journeyman</x:v>
      </x:c>
      <x:c r="B23" s="165" t="str">
        <x:v>Watermelon Softgels</x:v>
      </x:c>
      <x:c r="C23" s="165" t="str">
        <x:v>Capsules</x:v>
      </x:c>
      <x:c r="D23" s="165" t="str">
        <x:v>THC</x:v>
      </x:c>
      <x:c r="E23" s="165" t="str">
        <x:v>Rosin</x:v>
      </x:c>
      <x:c r="F23" s="165" t="str">
        <x:v>Indica</x:v>
      </x:c>
      <x:c r="G23" s="165"/>
      <x:c r="H23" s="165" t="str">
        <x:v>THC Only</x:v>
      </x:c>
      <x:c r="I23" s="165"/>
      <x:c r="J23" s="179" t="n">
        <x:v>10</x:v>
      </x:c>
      <x:c r="K23" s="179" t="n">
        <x:f>J23*R23</x:f>
        <x:v>100</x:v>
      </x:c>
      <x:c r="L23" s="179" t="n">
        <x:v>0</x:v>
      </x:c>
      <x:c r="M23" s="179" t="n">
        <x:f>L23*R23</x:f>
        <x:v>0</x:v>
      </x:c>
      <x:c r="N23" s="179" t="n">
        <x:v>0</x:v>
      </x:c>
      <x:c r="O23" s="180" t="n">
        <x:f>N23*R23</x:f>
        <x:v>0</x:v>
      </x:c>
      <x:c r="P23" s="179" t="n">
        <x:v>0</x:v>
      </x:c>
      <x:c r="Q23" s="180" t="n">
        <x:f>P23*R23</x:f>
        <x:v>0</x:v>
      </x:c>
      <x:c r="R23" s="180" t="n">
        <x:v>10</x:v>
      </x:c>
      <x:c r="S23" s="169" t="str">
        <x:v>1 capsule</x:v>
      </x:c>
      <x:c r="T23" s="170" t="str">
        <x:v>Watermelon</x:v>
      </x:c>
      <x:c r="U23" s="141" t="str">
        <x:v>An unflavored rosin softgel positioned as a compact THC-only option, with no candy shell, sugar, or lingering flavor.</x:v>
      </x:c>
      <x:c r="V23" s="183" t="n">
        <x:v>32</x:v>
      </x:c>
      <x:c r="W23" s="166" t="str">
        <x:v>Representative WA brand pricing; exact capsules / rosin SKU may be a catalog mock extension</x:v>
      </x:c>
      <x:c r="X23" s="168" t="str">
        <x:v>https://www.washingtonweedstores.com/brands/Journeyman</x:v>
      </x:c>
      <x:c r="Y23" s="166" t="str">
        <x:v>Weight</x:v>
      </x:c>
      <x:c r="Z23" s="168" t="n">
        <x:f>IF(AB23="","",ROUNDDOWN(AB23/28.349523125,2))</x:f>
        <x:v>0.35</x:v>
      </x:c>
      <x:c r="AA23" s="165" t="str">
        <x:v>oz</x:v>
      </x:c>
      <x:c r="AB23" s="169" t="n">
        <x:v>10</x:v>
      </x:c>
      <x:c r="AC23" s="165" t="str">
        <x:v>g</x:v>
      </x:c>
      <x:c r="AD23" s="170" t="n">
        <x:f>IF(AND(ISNUMBER(AB23),ISNUMBER(R23),R23&gt;0),AB23/R23,"")</x:f>
        <x:v>1</x:v>
      </x:c>
      <x:c r="AE23" s="166" t="str">
        <x:v>Estimated — synthetic 10-count capsule package</x:v>
      </x:c>
      <x:c r="AF23" s="166" t="str">
        <x:v>https://www.topshelfdata.com/wa/shelton/sashas-cannabis/leaf_product_purchases?business=Fairwinds+Manufacturing&amp;from=2024-05-01</x:v>
      </x:c>
    </x:row>
    <x:row r="24">
      <x:c r="A24" s="165" t="str">
        <x:v>Marmas</x:v>
      </x:c>
      <x:c r="B24" s="165" t="str">
        <x:v>Blackberry Gummies</x:v>
      </x:c>
      <x:c r="C24" s="165" t="str">
        <x:v>Gummies</x:v>
      </x:c>
      <x:c r="D24" s="165" t="str">
        <x:v>THC</x:v>
      </x:c>
      <x:c r="E24" s="165" t="str">
        <x:v>Live Rosin</x:v>
      </x:c>
      <x:c r="F24" s="165" t="str">
        <x:v>Sativa</x:v>
      </x:c>
      <x:c r="G24" s="165"/>
      <x:c r="H24" s="165" t="str">
        <x:v>THC Only</x:v>
      </x:c>
      <x:c r="I24" s="165"/>
      <x:c r="J24" s="179" t="n">
        <x:v>10</x:v>
      </x:c>
      <x:c r="K24" s="179" t="n">
        <x:f>J24*R24</x:f>
        <x:v>100</x:v>
      </x:c>
      <x:c r="L24" s="179" t="n">
        <x:v>0</x:v>
      </x:c>
      <x:c r="M24" s="179" t="n">
        <x:f>L24*R24</x:f>
        <x:v>0</x:v>
      </x:c>
      <x:c r="N24" s="179" t="n">
        <x:v>0</x:v>
      </x:c>
      <x:c r="O24" s="180" t="n">
        <x:f>N24*R24</x:f>
        <x:v>0</x:v>
      </x:c>
      <x:c r="P24" s="179" t="n">
        <x:v>0</x:v>
      </x:c>
      <x:c r="Q24" s="180" t="n">
        <x:f>P24*R24</x:f>
        <x:v>0</x:v>
      </x:c>
      <x:c r="R24" s="180" t="n">
        <x:v>10</x:v>
      </x:c>
      <x:c r="S24" s="169" t="str">
        <x:v>1 gummy</x:v>
      </x:c>
      <x:c r="T24" s="170" t="str">
        <x:v>Blackberry</x:v>
      </x:c>
      <x:c r="U24" s="141" t="str">
        <x:v>Blackberry comes through juicy and slightly tart, with live rosin adding a fuller finish to Marmas’ soft gummy texture.</x:v>
      </x:c>
      <x:c r="V24" s="183" t="n">
        <x:v>25</x:v>
      </x:c>
      <x:c r="W24" s="166" t="str">
        <x:v>Official Marmas edible price anchor; exact gummies / live rosin SKU may be a catalog mock extension</x:v>
      </x:c>
      <x:c r="X24" s="168" t="str">
        <x:v>https://marmasofficial.com/</x:v>
      </x:c>
      <x:c r="Y24" s="166" t="str">
        <x:v>Weight</x:v>
      </x:c>
      <x:c r="Z24" s="168" t="n">
        <x:f>IF(AB24="","",ROUNDDOWN(AB24/28.349523125,2))</x:f>
        <x:v>1.76</x:v>
      </x:c>
      <x:c r="AA24" s="165" t="str">
        <x:v>oz</x:v>
      </x:c>
      <x:c r="AB24" s="169" t="n">
        <x:v>50</x:v>
      </x:c>
      <x:c r="AC24" s="165" t="str">
        <x:v>g</x:v>
      </x:c>
      <x:c r="AD24" s="170" t="n">
        <x:f>IF(AND(ISNUMBER(AB24),ISNUMBER(R24),R24&gt;0),AB24/R24,"")</x:f>
        <x:v>5</x:v>
      </x:c>
      <x:c r="AE24" s="166" t="str">
        <x:v>Researched — Marmas 10-pack examples in WA traceability data</x:v>
      </x:c>
      <x:c r="AF24" s="166" t="str">
        <x:v>https://www.topshelfdata.com/wa/tacoma/diamond-green/leaf_product_purchases?business=Mt+Baker+Homegrown&amp;from=2024-07-01</x:v>
      </x:c>
    </x:row>
    <x:row r="25">
      <x:c r="A25" s="165" t="str">
        <x:v>Marmas</x:v>
      </x:c>
      <x:c r="B25" s="165" t="str">
        <x:v>Huckleberry Gummies</x:v>
      </x:c>
      <x:c r="C25" s="165" t="str">
        <x:v>Gummies</x:v>
      </x:c>
      <x:c r="D25" s="165" t="str">
        <x:v>THC</x:v>
      </x:c>
      <x:c r="E25" s="165" t="str">
        <x:v>Live Resin</x:v>
      </x:c>
      <x:c r="F25" s="165" t="str">
        <x:v>Indica</x:v>
      </x:c>
      <x:c r="G25" s="165"/>
      <x:c r="H25" s="165" t="str">
        <x:v>THC Only</x:v>
      </x:c>
      <x:c r="I25" s="165"/>
      <x:c r="J25" s="179" t="n">
        <x:v>10</x:v>
      </x:c>
      <x:c r="K25" s="179" t="n">
        <x:f>J25*R25</x:f>
        <x:v>100</x:v>
      </x:c>
      <x:c r="L25" s="179" t="n">
        <x:v>0</x:v>
      </x:c>
      <x:c r="M25" s="179" t="n">
        <x:f>L25*R25</x:f>
        <x:v>0</x:v>
      </x:c>
      <x:c r="N25" s="179" t="n">
        <x:v>0</x:v>
      </x:c>
      <x:c r="O25" s="180" t="n">
        <x:f>N25*R25</x:f>
        <x:v>0</x:v>
      </x:c>
      <x:c r="P25" s="179" t="n">
        <x:v>0</x:v>
      </x:c>
      <x:c r="Q25" s="180" t="n">
        <x:f>P25*R25</x:f>
        <x:v>0</x:v>
      </x:c>
      <x:c r="R25" s="180" t="n">
        <x:v>10</x:v>
      </x:c>
      <x:c r="S25" s="169" t="str">
        <x:v>1 gummy</x:v>
      </x:c>
      <x:c r="T25" s="170" t="str">
        <x:v>Huckleberry</x:v>
      </x:c>
      <x:c r="U25" s="141" t="str">
        <x:v>Huckleberry brings a darker berry profile to a soft live resin gummy with a clean, lightly tangy finish.</x:v>
      </x:c>
      <x:c r="V25" s="183" t="n">
        <x:v>25</x:v>
      </x:c>
      <x:c r="W25" s="166" t="str">
        <x:v>Official Marmas edible price anchor; exact gummies / live resin SKU may be a catalog mock extension</x:v>
      </x:c>
      <x:c r="X25" s="168" t="str">
        <x:v>https://marmasofficial.com/</x:v>
      </x:c>
      <x:c r="Y25" s="166" t="str">
        <x:v>Weight</x:v>
      </x:c>
      <x:c r="Z25" s="168" t="n">
        <x:f>IF(AB25="","",ROUNDDOWN(AB25/28.349523125,2))</x:f>
        <x:v>1.76</x:v>
      </x:c>
      <x:c r="AA25" s="165" t="str">
        <x:v>oz</x:v>
      </x:c>
      <x:c r="AB25" s="169" t="n">
        <x:v>50</x:v>
      </x:c>
      <x:c r="AC25" s="165" t="str">
        <x:v>g</x:v>
      </x:c>
      <x:c r="AD25" s="170" t="n">
        <x:f>IF(AND(ISNUMBER(AB25),ISNUMBER(R25),R25&gt;0),AB25/R25,"")</x:f>
        <x:v>5</x:v>
      </x:c>
      <x:c r="AE25" s="166" t="str">
        <x:v>Researched — Marmas 10-pack examples in WA traceability data</x:v>
      </x:c>
      <x:c r="AF25" s="166" t="str">
        <x:v>https://www.topshelfdata.com/wa/tacoma/diamond-green/leaf_product_purchases?business=Mt+Baker+Homegrown&amp;from=2024-07-01</x:v>
      </x:c>
    </x:row>
    <x:row r="26">
      <x:c r="A26" s="165" t="str">
        <x:v>Marmas</x:v>
      </x:c>
      <x:c r="B26" s="165" t="str">
        <x:v>Pineapple Gummies</x:v>
      </x:c>
      <x:c r="C26" s="165" t="str">
        <x:v>Gummies</x:v>
      </x:c>
      <x:c r="D26" s="165" t="str">
        <x:v>THC</x:v>
      </x:c>
      <x:c r="E26" s="165" t="str">
        <x:v>Live Resin</x:v>
      </x:c>
      <x:c r="F26" s="165" t="str">
        <x:v>Hybrid</x:v>
      </x:c>
      <x:c r="G26" s="165"/>
      <x:c r="H26" s="165" t="str">
        <x:v>THC Only</x:v>
      </x:c>
      <x:c r="I26" s="165"/>
      <x:c r="J26" s="179" t="n">
        <x:v>10</x:v>
      </x:c>
      <x:c r="K26" s="179" t="n">
        <x:f>J26*R26</x:f>
        <x:v>100</x:v>
      </x:c>
      <x:c r="L26" s="179" t="n">
        <x:v>0</x:v>
      </x:c>
      <x:c r="M26" s="179" t="n">
        <x:f>L26*R26</x:f>
        <x:v>0</x:v>
      </x:c>
      <x:c r="N26" s="179" t="n">
        <x:v>0</x:v>
      </x:c>
      <x:c r="O26" s="180" t="n">
        <x:f>N26*R26</x:f>
        <x:v>0</x:v>
      </x:c>
      <x:c r="P26" s="179" t="n">
        <x:v>0</x:v>
      </x:c>
      <x:c r="Q26" s="180" t="n">
        <x:f>P26*R26</x:f>
        <x:v>0</x:v>
      </x:c>
      <x:c r="R26" s="180" t="n">
        <x:v>10</x:v>
      </x:c>
      <x:c r="S26" s="169" t="str">
        <x:v>1 gummy</x:v>
      </x:c>
      <x:c r="T26" s="170" t="str">
        <x:v>Pineapple</x:v>
      </x:c>
      <x:c r="U26" s="141" t="str">
        <x:v>Pineapple keeps this live resin gummy bright and tropical, balancing ripe sweetness with a sharper fruit finish.</x:v>
      </x:c>
      <x:c r="V26" s="183" t="n">
        <x:v>25</x:v>
      </x:c>
      <x:c r="W26" s="166" t="str">
        <x:v>Official Marmas edible price anchor; exact gummies / live resin SKU may be a catalog mock extension</x:v>
      </x:c>
      <x:c r="X26" s="168" t="str">
        <x:v>https://marmasofficial.com/</x:v>
      </x:c>
      <x:c r="Y26" s="166" t="str">
        <x:v>Weight</x:v>
      </x:c>
      <x:c r="Z26" s="168" t="n">
        <x:f>IF(AB26="","",ROUNDDOWN(AB26/28.349523125,2))</x:f>
        <x:v>1.76</x:v>
      </x:c>
      <x:c r="AA26" s="165" t="str">
        <x:v>oz</x:v>
      </x:c>
      <x:c r="AB26" s="169" t="n">
        <x:v>50</x:v>
      </x:c>
      <x:c r="AC26" s="165" t="str">
        <x:v>g</x:v>
      </x:c>
      <x:c r="AD26" s="170" t="n">
        <x:f>IF(AND(ISNUMBER(AB26),ISNUMBER(R26),R26&gt;0),AB26/R26,"")</x:f>
        <x:v>5</x:v>
      </x:c>
      <x:c r="AE26" s="166" t="str">
        <x:v>Researched — Marmas 10-pack examples in WA traceability data</x:v>
      </x:c>
      <x:c r="AF26" s="166" t="str">
        <x:v>https://www.topshelfdata.com/wa/tacoma/diamond-green/leaf_product_purchases?business=Mt+Baker+Homegrown&amp;from=2024-07-01</x:v>
      </x:c>
    </x:row>
    <x:row r="27">
      <x:c r="A27" s="165" t="str">
        <x:v>Pioneer Squares</x:v>
      </x:c>
      <x:c r="B27" s="165" t="str">
        <x:v>Blood Orange Chocolate Squares</x:v>
      </x:c>
      <x:c r="C27" s="165" t="str">
        <x:v>Chocolate</x:v>
      </x:c>
      <x:c r="D27" s="165" t="str">
        <x:v>THC</x:v>
      </x:c>
      <x:c r="E27" s="165" t="str">
        <x:v>Distillate</x:v>
      </x:c>
      <x:c r="F27" s="165" t="str">
        <x:v>Hybrid</x:v>
      </x:c>
      <x:c r="G27" s="165"/>
      <x:c r="H27" s="165" t="str">
        <x:v>THC Only</x:v>
      </x:c>
      <x:c r="I27" s="165"/>
      <x:c r="J27" s="179" t="n">
        <x:v>10</x:v>
      </x:c>
      <x:c r="K27" s="179" t="n">
        <x:f>J27*R27</x:f>
        <x:v>100</x:v>
      </x:c>
      <x:c r="L27" s="179" t="n">
        <x:v>0</x:v>
      </x:c>
      <x:c r="M27" s="179" t="n">
        <x:f>L27*R27</x:f>
        <x:v>0</x:v>
      </x:c>
      <x:c r="N27" s="179" t="n">
        <x:v>0</x:v>
      </x:c>
      <x:c r="O27" s="180" t="n">
        <x:f>N27*R27</x:f>
        <x:v>0</x:v>
      </x:c>
      <x:c r="P27" s="179" t="n">
        <x:v>0</x:v>
      </x:c>
      <x:c r="Q27" s="180" t="n">
        <x:f>P27*R27</x:f>
        <x:v>0</x:v>
      </x:c>
      <x:c r="R27" s="180" t="n">
        <x:v>10</x:v>
      </x:c>
      <x:c r="S27" s="169" t="str">
        <x:v>1 chocolate piece</x:v>
      </x:c>
      <x:c r="T27" s="170" t="str">
        <x:v>Blood Orange</x:v>
      </x:c>
      <x:c r="U27" s="141" t="str">
        <x:v>Blood orange gives the chocolate a bittersweet citrus edge, paired with a straightforward distillate infusion and dense cocoa base.</x:v>
      </x:c>
      <x:c r="V27" s="183" t="n">
        <x:v>30</x:v>
      </x:c>
      <x:c r="W27" s="166" t="str">
        <x:v>Current WA 100mg 10-pack retail anchor; exact chocolate / distillate SKU may be a catalog mock extension</x:v>
      </x:c>
      <x:c r="X27" s="168" t="str">
        <x:v>https://weedmaps.com/dispensaries/destination-hwy-420/menu/pioneer-squares-fruit-chews-lemon-mandarin-3-5oz</x:v>
      </x:c>
      <x:c r="Y27" s="166" t="str">
        <x:v>Weight</x:v>
      </x:c>
      <x:c r="Z27" s="168" t="n">
        <x:f>IF(AB27="","",ROUNDDOWN(AB27/28.349523125,2))</x:f>
        <x:v>3.49</x:v>
      </x:c>
      <x:c r="AA27" s="165" t="str">
        <x:v>oz</x:v>
      </x:c>
      <x:c r="AB27" s="169" t="n">
        <x:v>99.2</x:v>
      </x:c>
      <x:c r="AC27" s="165" t="str">
        <x:v>g</x:v>
      </x:c>
      <x:c r="AD27" s="170" t="n">
        <x:f>IF(AND(ISNUMBER(AB27),ISNUMBER(R27),R27&gt;0),AB27/R27,"")</x:f>
        <x:v>9.92</x:v>
      </x:c>
      <x:c r="AE27" s="166" t="str">
        <x:v>Researched — Pioneer Squares 10-pack WA traceability example</x:v>
      </x:c>
      <x:c r="AF27" s="166" t="str">
        <x:v>https://www.topshelfdata.com/wa/tacoma/the-gallery-parkland/leaf_product_purchases?business=Stryps&amp;from=2024-04-01</x:v>
      </x:c>
    </x:row>
    <x:row r="28">
      <x:c r="A28" s="165" t="str">
        <x:v>Pioneer Squares</x:v>
      </x:c>
      <x:c r="B28" s="165" t="str">
        <x:v>Lemon Chocolate Squares</x:v>
      </x:c>
      <x:c r="C28" s="165" t="str">
        <x:v>Chocolate</x:v>
      </x:c>
      <x:c r="D28" s="165" t="str">
        <x:v>THC</x:v>
      </x:c>
      <x:c r="E28" s="165" t="str">
        <x:v>Rosin</x:v>
      </x:c>
      <x:c r="F28" s="165" t="str">
        <x:v>Sativa</x:v>
      </x:c>
      <x:c r="G28" s="165"/>
      <x:c r="H28" s="165" t="str">
        <x:v>THC Only</x:v>
      </x:c>
      <x:c r="I28" s="165"/>
      <x:c r="J28" s="179" t="n">
        <x:v>10</x:v>
      </x:c>
      <x:c r="K28" s="179" t="n">
        <x:f>J28*R28</x:f>
        <x:v>100</x:v>
      </x:c>
      <x:c r="L28" s="179" t="n">
        <x:v>0</x:v>
      </x:c>
      <x:c r="M28" s="179" t="n">
        <x:f>L28*R28</x:f>
        <x:v>0</x:v>
      </x:c>
      <x:c r="N28" s="179" t="n">
        <x:v>0</x:v>
      </x:c>
      <x:c r="O28" s="180" t="n">
        <x:f>N28*R28</x:f>
        <x:v>0</x:v>
      </x:c>
      <x:c r="P28" s="179" t="n">
        <x:v>0</x:v>
      </x:c>
      <x:c r="Q28" s="180" t="n">
        <x:f>P28*R28</x:f>
        <x:v>0</x:v>
      </x:c>
      <x:c r="R28" s="180" t="n">
        <x:v>10</x:v>
      </x:c>
      <x:c r="S28" s="169" t="str">
        <x:v>1 chocolate piece</x:v>
      </x:c>
      <x:c r="T28" s="170" t="str">
        <x:v>Lemon</x:v>
      </x:c>
      <x:c r="U28" s="141" t="str">
        <x:v>Lemon adds a crisp top note to rich chocolate, while rosin gives the square a smoother, more layered finish.</x:v>
      </x:c>
      <x:c r="V28" s="183" t="n">
        <x:v>33</x:v>
      </x:c>
      <x:c r="W28" s="166" t="str">
        <x:v>Current WA 100mg 10-pack retail anchor; exact chocolate / rosin SKU may be a catalog mock extension</x:v>
      </x:c>
      <x:c r="X28" s="168" t="str">
        <x:v>https://weedmaps.com/dispensaries/destination-hwy-420/menu/pioneer-squares-fruit-chews-lemon-mandarin-3-5oz</x:v>
      </x:c>
      <x:c r="Y28" s="166" t="str">
        <x:v>Weight</x:v>
      </x:c>
      <x:c r="Z28" s="168" t="n">
        <x:f>IF(AB28="","",ROUNDDOWN(AB28/28.349523125,2))</x:f>
        <x:v>3.49</x:v>
      </x:c>
      <x:c r="AA28" s="165" t="str">
        <x:v>oz</x:v>
      </x:c>
      <x:c r="AB28" s="169" t="n">
        <x:v>99.2</x:v>
      </x:c>
      <x:c r="AC28" s="165" t="str">
        <x:v>g</x:v>
      </x:c>
      <x:c r="AD28" s="170" t="n">
        <x:f>IF(AND(ISNUMBER(AB28),ISNUMBER(R28),R28&gt;0),AB28/R28,"")</x:f>
        <x:v>9.92</x:v>
      </x:c>
      <x:c r="AE28" s="166" t="str">
        <x:v>Researched — Pioneer Squares 10-pack WA traceability example</x:v>
      </x:c>
      <x:c r="AF28" s="166" t="str">
        <x:v>https://www.topshelfdata.com/wa/tacoma/the-gallery-parkland/leaf_product_purchases?business=Stryps&amp;from=2024-04-01</x:v>
      </x:c>
    </x:row>
    <x:row r="29">
      <x:c r="A29" s="165" t="str">
        <x:v>Pioneer Squares</x:v>
      </x:c>
      <x:c r="B29" s="165" t="str">
        <x:v>Raspberry Chocolate Squares</x:v>
      </x:c>
      <x:c r="C29" s="165" t="str">
        <x:v>Chocolate</x:v>
      </x:c>
      <x:c r="D29" s="165" t="str">
        <x:v>THC</x:v>
      </x:c>
      <x:c r="E29" s="165" t="str">
        <x:v>Rosin</x:v>
      </x:c>
      <x:c r="F29" s="165" t="str">
        <x:v>Indica</x:v>
      </x:c>
      <x:c r="G29" s="165"/>
      <x:c r="H29" s="165" t="str">
        <x:v>THC Only</x:v>
      </x:c>
      <x:c r="I29" s="165"/>
      <x:c r="J29" s="179" t="n">
        <x:v>10</x:v>
      </x:c>
      <x:c r="K29" s="179" t="n">
        <x:f>J29*R29</x:f>
        <x:v>100</x:v>
      </x:c>
      <x:c r="L29" s="179" t="n">
        <x:v>0</x:v>
      </x:c>
      <x:c r="M29" s="179" t="n">
        <x:f>L29*R29</x:f>
        <x:v>0</x:v>
      </x:c>
      <x:c r="N29" s="179" t="n">
        <x:v>0</x:v>
      </x:c>
      <x:c r="O29" s="180" t="n">
        <x:f>N29*R29</x:f>
        <x:v>0</x:v>
      </x:c>
      <x:c r="P29" s="179" t="n">
        <x:v>0</x:v>
      </x:c>
      <x:c r="Q29" s="180" t="n">
        <x:f>P29*R29</x:f>
        <x:v>0</x:v>
      </x:c>
      <x:c r="R29" s="180" t="n">
        <x:v>10</x:v>
      </x:c>
      <x:c r="S29" s="169" t="str">
        <x:v>1 chocolate piece</x:v>
      </x:c>
      <x:c r="T29" s="170" t="str">
        <x:v>Raspberry</x:v>
      </x:c>
      <x:c r="U29" s="141" t="str">
        <x:v>Raspberry and chocolate lean rich rather than candy-sweet, with rosin rounding out the fruit-and-cocoa profile.</x:v>
      </x:c>
      <x:c r="V29" s="183" t="n">
        <x:v>33</x:v>
      </x:c>
      <x:c r="W29" s="166" t="str">
        <x:v>Current WA 100mg 10-pack retail anchor; exact chocolate / rosin SKU may be a catalog mock extension</x:v>
      </x:c>
      <x:c r="X29" s="168" t="str">
        <x:v>https://weedmaps.com/dispensaries/destination-hwy-420/menu/pioneer-squares-fruit-chews-lemon-mandarin-3-5oz</x:v>
      </x:c>
      <x:c r="Y29" s="166" t="str">
        <x:v>Weight</x:v>
      </x:c>
      <x:c r="Z29" s="168" t="n">
        <x:f>IF(AB29="","",ROUNDDOWN(AB29/28.349523125,2))</x:f>
        <x:v>3.49</x:v>
      </x:c>
      <x:c r="AA29" s="165" t="str">
        <x:v>oz</x:v>
      </x:c>
      <x:c r="AB29" s="169" t="n">
        <x:v>99.2</x:v>
      </x:c>
      <x:c r="AC29" s="165" t="str">
        <x:v>g</x:v>
      </x:c>
      <x:c r="AD29" s="170" t="n">
        <x:f>IF(AND(ISNUMBER(AB29),ISNUMBER(R29),R29&gt;0),AB29/R29,"")</x:f>
        <x:v>9.92</x:v>
      </x:c>
      <x:c r="AE29" s="166" t="str">
        <x:v>Researched — Pioneer Squares 10-pack WA traceability example</x:v>
      </x:c>
      <x:c r="AF29" s="166" t="str">
        <x:v>https://www.topshelfdata.com/wa/tacoma/the-gallery-parkland/leaf_product_purchases?business=Stryps&amp;from=2024-04-01</x:v>
      </x:c>
    </x:row>
    <x:row r="30">
      <x:c r="A30" s="165" t="str">
        <x:v>Swifts</x:v>
      </x:c>
      <x:c r="B30" s="165" t="str">
        <x:v>Blue Raspberry Fruit Drops</x:v>
      </x:c>
      <x:c r="C30" s="165" t="str">
        <x:v>Hard Candy</x:v>
      </x:c>
      <x:c r="D30" s="165" t="str">
        <x:v>THC</x:v>
      </x:c>
      <x:c r="E30" s="165" t="str">
        <x:v>Live Resin</x:v>
      </x:c>
      <x:c r="F30" s="165" t="str">
        <x:v>Indica</x:v>
      </x:c>
      <x:c r="G30" s="165"/>
      <x:c r="H30" s="165" t="str">
        <x:v>THC Only</x:v>
      </x:c>
      <x:c r="I30" s="165"/>
      <x:c r="J30" s="179" t="n">
        <x:v>10</x:v>
      </x:c>
      <x:c r="K30" s="179" t="n">
        <x:f>J30*R30</x:f>
        <x:v>100</x:v>
      </x:c>
      <x:c r="L30" s="179" t="n">
        <x:v>0</x:v>
      </x:c>
      <x:c r="M30" s="179" t="n">
        <x:f>L30*R30</x:f>
        <x:v>0</x:v>
      </x:c>
      <x:c r="N30" s="179" t="n">
        <x:v>0</x:v>
      </x:c>
      <x:c r="O30" s="180" t="n">
        <x:f>N30*R30</x:f>
        <x:v>0</x:v>
      </x:c>
      <x:c r="P30" s="179" t="n">
        <x:v>0</x:v>
      </x:c>
      <x:c r="Q30" s="180" t="n">
        <x:f>P30*R30</x:f>
        <x:v>0</x:v>
      </x:c>
      <x:c r="R30" s="180" t="n">
        <x:v>10</x:v>
      </x:c>
      <x:c r="S30" s="169" t="str">
        <x:v>1 candy</x:v>
      </x:c>
      <x:c r="T30" s="170" t="str">
        <x:v>Blue Raspberry</x:v>
      </x:c>
      <x:c r="U30" s="141" t="str">
        <x:v>Blue raspberry delivers a tart candy punch in a slow-dissolving live resin drop with a deeper aromatic finish.</x:v>
      </x:c>
      <x:c r="V30" s="183" t="n">
        <x:v>24</x:v>
      </x:c>
      <x:c r="W30" s="166" t="str">
        <x:v>Representative WA brand pricing; exact hard candy / live resin SKU may be a catalog mock extension</x:v>
      </x:c>
      <x:c r="X30" s="168" t="str">
        <x:v>https://www.washingtonweedstores.com/brands/Swifts</x:v>
      </x:c>
      <x:c r="Y30" s="166" t="str">
        <x:v>Weight</x:v>
      </x:c>
      <x:c r="Z30" s="168" t="n">
        <x:f>IF(AB30="","",ROUNDDOWN(AB30/28.349523125,2))</x:f>
        <x:v>1.41</x:v>
      </x:c>
      <x:c r="AA30" s="165" t="str">
        <x:v>oz</x:v>
      </x:c>
      <x:c r="AB30" s="169" t="n">
        <x:v>40</x:v>
      </x:c>
      <x:c r="AC30" s="165" t="str">
        <x:v>g</x:v>
      </x:c>
      <x:c r="AD30" s="170" t="n">
        <x:f>IF(AND(ISNUMBER(AB30),ISNUMBER(R30),R30&gt;0),AB30/R30,"")</x:f>
        <x:v>4</x:v>
      </x:c>
      <x:c r="AE30" s="166" t="str">
        <x:v>Estimated — synthetic SKU; comparable 10-piece hard-candy package</x:v>
      </x:c>
      <x:c r="AF30" s="166" t="str">
        <x:v>https://www.washingtonweedstores.com/brands/Swifts</x:v>
      </x:c>
    </x:row>
    <x:row r="31">
      <x:c r="A31" s="165" t="str">
        <x:v>Swifts</x:v>
      </x:c>
      <x:c r="B31" s="165" t="str">
        <x:v>Mango Fruit Drops</x:v>
      </x:c>
      <x:c r="C31" s="165" t="str">
        <x:v>Hard Candy</x:v>
      </x:c>
      <x:c r="D31" s="165" t="str">
        <x:v>THC</x:v>
      </x:c>
      <x:c r="E31" s="165" t="str">
        <x:v>Live Rosin</x:v>
      </x:c>
      <x:c r="F31" s="165" t="str">
        <x:v>Hybrid</x:v>
      </x:c>
      <x:c r="G31" s="165"/>
      <x:c r="H31" s="165" t="str">
        <x:v>THC Only</x:v>
      </x:c>
      <x:c r="I31" s="165"/>
      <x:c r="J31" s="179" t="n">
        <x:v>10</x:v>
      </x:c>
      <x:c r="K31" s="179" t="n">
        <x:f>J31*R31</x:f>
        <x:v>100</x:v>
      </x:c>
      <x:c r="L31" s="179" t="n">
        <x:v>0</x:v>
      </x:c>
      <x:c r="M31" s="179" t="n">
        <x:f>L31*R31</x:f>
        <x:v>0</x:v>
      </x:c>
      <x:c r="N31" s="179" t="n">
        <x:v>0</x:v>
      </x:c>
      <x:c r="O31" s="180" t="n">
        <x:f>N31*R31</x:f>
        <x:v>0</x:v>
      </x:c>
      <x:c r="P31" s="179" t="n">
        <x:v>0</x:v>
      </x:c>
      <x:c r="Q31" s="180" t="n">
        <x:f>P31*R31</x:f>
        <x:v>0</x:v>
      </x:c>
      <x:c r="R31" s="180" t="n">
        <x:v>10</x:v>
      </x:c>
      <x:c r="S31" s="169" t="str">
        <x:v>1 candy</x:v>
      </x:c>
      <x:c r="T31" s="170" t="str">
        <x:v>Mango</x:v>
      </x:c>
      <x:c r="U31" s="141" t="str">
        <x:v>Mango stays lush and tropical as the drop dissolves, with live rosin giving the candy a fuller finish than a standard distillate piece.</x:v>
      </x:c>
      <x:c r="V31" s="183" t="n">
        <x:v>30</x:v>
      </x:c>
      <x:c r="W31" s="166" t="str">
        <x:v>Representative WA brand pricing; exact hard candy / live rosin SKU may be a catalog mock extension</x:v>
      </x:c>
      <x:c r="X31" s="168" t="str">
        <x:v>https://www.washingtonweedstores.com/brands/Swifts</x:v>
      </x:c>
      <x:c r="Y31" s="166" t="str">
        <x:v>Weight</x:v>
      </x:c>
      <x:c r="Z31" s="168" t="n">
        <x:f>IF(AB31="","",ROUNDDOWN(AB31/28.349523125,2))</x:f>
        <x:v>1.41</x:v>
      </x:c>
      <x:c r="AA31" s="165" t="str">
        <x:v>oz</x:v>
      </x:c>
      <x:c r="AB31" s="169" t="n">
        <x:v>40</x:v>
      </x:c>
      <x:c r="AC31" s="165" t="str">
        <x:v>g</x:v>
      </x:c>
      <x:c r="AD31" s="170" t="n">
        <x:f>IF(AND(ISNUMBER(AB31),ISNUMBER(R31),R31&gt;0),AB31/R31,"")</x:f>
        <x:v>4</x:v>
      </x:c>
      <x:c r="AE31" s="166" t="str">
        <x:v>Estimated — synthetic SKU; comparable 10-piece hard-candy package</x:v>
      </x:c>
      <x:c r="AF31" s="166" t="str">
        <x:v>https://www.washingtonweedstores.com/brands/Swifts</x:v>
      </x:c>
    </x:row>
    <x:row r="32">
      <x:c r="A32" s="165" t="str">
        <x:v>Swifts</x:v>
      </x:c>
      <x:c r="B32" s="165" t="str">
        <x:v>Strawberry Fruit Drops</x:v>
      </x:c>
      <x:c r="C32" s="165" t="str">
        <x:v>Hard Candy</x:v>
      </x:c>
      <x:c r="D32" s="165" t="str">
        <x:v>THC</x:v>
      </x:c>
      <x:c r="E32" s="165" t="str">
        <x:v>Live Rosin</x:v>
      </x:c>
      <x:c r="F32" s="165" t="str">
        <x:v>Sativa</x:v>
      </x:c>
      <x:c r="G32" s="165"/>
      <x:c r="H32" s="165" t="str">
        <x:v>THC Only</x:v>
      </x:c>
      <x:c r="I32" s="165"/>
      <x:c r="J32" s="179" t="n">
        <x:v>10</x:v>
      </x:c>
      <x:c r="K32" s="179" t="n">
        <x:f>J32*R32</x:f>
        <x:v>100</x:v>
      </x:c>
      <x:c r="L32" s="179" t="n">
        <x:v>0</x:v>
      </x:c>
      <x:c r="M32" s="179" t="n">
        <x:f>L32*R32</x:f>
        <x:v>0</x:v>
      </x:c>
      <x:c r="N32" s="179" t="n">
        <x:v>0</x:v>
      </x:c>
      <x:c r="O32" s="180" t="n">
        <x:f>N32*R32</x:f>
        <x:v>0</x:v>
      </x:c>
      <x:c r="P32" s="179" t="n">
        <x:v>0</x:v>
      </x:c>
      <x:c r="Q32" s="180" t="n">
        <x:f>P32*R32</x:f>
        <x:v>0</x:v>
      </x:c>
      <x:c r="R32" s="180" t="n">
        <x:v>10</x:v>
      </x:c>
      <x:c r="S32" s="169" t="str">
        <x:v>1 candy</x:v>
      </x:c>
      <x:c r="T32" s="170" t="str">
        <x:v>Strawberry</x:v>
      </x:c>
      <x:c r="U32" s="141" t="str">
        <x:v>Strawberry lands bright and familiar up front, while live rosin adds a softer, more rounded finish underneath the fruit.</x:v>
      </x:c>
      <x:c r="V32" s="183" t="n">
        <x:v>30</x:v>
      </x:c>
      <x:c r="W32" s="166" t="str">
        <x:v>Representative WA brand pricing; exact hard candy / live rosin SKU may be a catalog mock extension</x:v>
      </x:c>
      <x:c r="X32" s="168" t="str">
        <x:v>https://www.washingtonweedstores.com/brands/Swifts</x:v>
      </x:c>
      <x:c r="Y32" s="166" t="str">
        <x:v>Weight</x:v>
      </x:c>
      <x:c r="Z32" s="168" t="n">
        <x:f>IF(AB32="","",ROUNDDOWN(AB32/28.349523125,2))</x:f>
        <x:v>1.41</x:v>
      </x:c>
      <x:c r="AA32" s="165" t="str">
        <x:v>oz</x:v>
      </x:c>
      <x:c r="AB32" s="169" t="n">
        <x:v>40</x:v>
      </x:c>
      <x:c r="AC32" s="165" t="str">
        <x:v>g</x:v>
      </x:c>
      <x:c r="AD32" s="170" t="n">
        <x:f>IF(AND(ISNUMBER(AB32),ISNUMBER(R32),R32&gt;0),AB32/R32,"")</x:f>
        <x:v>4</x:v>
      </x:c>
      <x:c r="AE32" s="166" t="str">
        <x:v>Estimated — synthetic SKU; comparable 10-piece hard-candy package</x:v>
      </x:c>
      <x:c r="AF32" s="166" t="str">
        <x:v>https://www.washingtonweedstores.com/brands/Swifts</x:v>
      </x:c>
    </x:row>
    <x:row r="33">
      <x:c r="A33" s="165" t="str">
        <x:v>Verdelux</x:v>
      </x:c>
      <x:c r="B33" s="165" t="str">
        <x:v>Cherry Lime Cookie Bites</x:v>
      </x:c>
      <x:c r="C33" s="165" t="str">
        <x:v>Baked Goods</x:v>
      </x:c>
      <x:c r="D33" s="165" t="str">
        <x:v>THC</x:v>
      </x:c>
      <x:c r="E33" s="165" t="str">
        <x:v>Rosin</x:v>
      </x:c>
      <x:c r="F33" s="165" t="str">
        <x:v>Sativa</x:v>
      </x:c>
      <x:c r="G33" s="165"/>
      <x:c r="H33" s="165" t="str">
        <x:v>THC Only</x:v>
      </x:c>
      <x:c r="I33" s="165"/>
      <x:c r="J33" s="179" t="n">
        <x:v>10</x:v>
      </x:c>
      <x:c r="K33" s="179" t="n">
        <x:f>J33*R33</x:f>
        <x:v>100</x:v>
      </x:c>
      <x:c r="L33" s="179" t="n">
        <x:v>0</x:v>
      </x:c>
      <x:c r="M33" s="179" t="n">
        <x:f>L33*R33</x:f>
        <x:v>0</x:v>
      </x:c>
      <x:c r="N33" s="179" t="n">
        <x:v>0</x:v>
      </x:c>
      <x:c r="O33" s="180" t="n">
        <x:f>N33*R33</x:f>
        <x:v>0</x:v>
      </x:c>
      <x:c r="P33" s="179" t="n">
        <x:v>0</x:v>
      </x:c>
      <x:c r="Q33" s="180" t="n">
        <x:f>P33*R33</x:f>
        <x:v>0</x:v>
      </x:c>
      <x:c r="R33" s="180" t="n">
        <x:v>10</x:v>
      </x:c>
      <x:c r="S33" s="169" t="str">
        <x:v>1 bite</x:v>
      </x:c>
      <x:c r="T33" s="170" t="str">
        <x:v>Cherry Lime</x:v>
      </x:c>
      <x:c r="U33" s="141" t="str">
        <x:v>Cherry lime gives this cookie bite a sharp sweet-tart contrast, with rosin adding depth to the soft baked base.</x:v>
      </x:c>
      <x:c r="V33" s="183" t="n">
        <x:v>22</x:v>
      </x:c>
      <x:c r="W33" s="166" t="str">
        <x:v>Current WA BON BOMBS average-price anchor; exact baked goods / rosin SKU may be a catalog mock extension</x:v>
      </x:c>
      <x:c r="X33" s="168" t="str">
        <x:v>https://www.headset.io/brands/bon-bombs</x:v>
      </x:c>
      <x:c r="Y33" s="166" t="str">
        <x:v>Weight</x:v>
      </x:c>
      <x:c r="Z33" s="168" t="n">
        <x:f>IF(AB33="","",ROUNDDOWN(AB33/28.349523125,2))</x:f>
        <x:v>3.52</x:v>
      </x:c>
      <x:c r="AA33" s="165" t="str">
        <x:v>oz</x:v>
      </x:c>
      <x:c r="AB33" s="169" t="n">
        <x:v>100</x:v>
      </x:c>
      <x:c r="AC33" s="165" t="str">
        <x:v>g</x:v>
      </x:c>
      <x:c r="AD33" s="170" t="n">
        <x:f>IF(AND(ISNUMBER(AB33),ISNUMBER(R33),R33&gt;0),AB33/R33,"")</x:f>
        <x:v>10</x:v>
      </x:c>
      <x:c r="AE33" s="166" t="str">
        <x:v>Estimated — synthetic cookie-bite SKU; comparable WA confection weight</x:v>
      </x:c>
      <x:c r="AF33" s="166" t="str">
        <x:v>https://www.topshelfdata.com/wa/clarkston/greenfield-company-cannabis-mercantile/leaf_product_purchases?business=&amp;from=2023-03-01</x:v>
      </x:c>
    </x:row>
    <x:row r="34">
      <x:c r="A34" s="165" t="str">
        <x:v>Verdelux</x:v>
      </x:c>
      <x:c r="B34" s="165" t="str">
        <x:v>Peach Cookie Bites</x:v>
      </x:c>
      <x:c r="C34" s="165" t="str">
        <x:v>Baked Goods</x:v>
      </x:c>
      <x:c r="D34" s="165" t="str">
        <x:v>THC</x:v>
      </x:c>
      <x:c r="E34" s="165" t="str">
        <x:v>Distillate</x:v>
      </x:c>
      <x:c r="F34" s="165" t="str">
        <x:v>Indica</x:v>
      </x:c>
      <x:c r="G34" s="165"/>
      <x:c r="H34" s="165" t="str">
        <x:v>THC Only</x:v>
      </x:c>
      <x:c r="I34" s="165"/>
      <x:c r="J34" s="179" t="n">
        <x:v>10</x:v>
      </x:c>
      <x:c r="K34" s="179" t="n">
        <x:f>J34*R34</x:f>
        <x:v>100</x:v>
      </x:c>
      <x:c r="L34" s="179" t="n">
        <x:v>0</x:v>
      </x:c>
      <x:c r="M34" s="179" t="n">
        <x:f>L34*R34</x:f>
        <x:v>0</x:v>
      </x:c>
      <x:c r="N34" s="179" t="n">
        <x:v>0</x:v>
      </x:c>
      <x:c r="O34" s="180" t="n">
        <x:f>N34*R34</x:f>
        <x:v>0</x:v>
      </x:c>
      <x:c r="P34" s="179" t="n">
        <x:v>0</x:v>
      </x:c>
      <x:c r="Q34" s="180" t="n">
        <x:f>P34*R34</x:f>
        <x:v>0</x:v>
      </x:c>
      <x:c r="R34" s="180" t="n">
        <x:v>10</x:v>
      </x:c>
      <x:c r="S34" s="169" t="str">
        <x:v>1 bite</x:v>
      </x:c>
      <x:c r="T34" s="170" t="str">
        <x:v>Peach</x:v>
      </x:c>
      <x:c r="U34" s="141" t="str">
        <x:v>Peach keeps the cookie bite mellow and lightly fruity, paired with a clean distillate infusion and soft bakery texture.</x:v>
      </x:c>
      <x:c r="V34" s="183" t="n">
        <x:v>18</x:v>
      </x:c>
      <x:c r="W34" s="166" t="str">
        <x:v>Current WA BON BOMBS average-price anchor; exact baked goods / distillate SKU may be a catalog mock extension</x:v>
      </x:c>
      <x:c r="X34" s="168" t="str">
        <x:v>https://www.headset.io/brands/bon-bombs</x:v>
      </x:c>
      <x:c r="Y34" s="166" t="str">
        <x:v>Weight</x:v>
      </x:c>
      <x:c r="Z34" s="168" t="n">
        <x:f>IF(AB34="","",ROUNDDOWN(AB34/28.349523125,2))</x:f>
        <x:v>3.52</x:v>
      </x:c>
      <x:c r="AA34" s="165" t="str">
        <x:v>oz</x:v>
      </x:c>
      <x:c r="AB34" s="169" t="n">
        <x:v>100</x:v>
      </x:c>
      <x:c r="AC34" s="165" t="str">
        <x:v>g</x:v>
      </x:c>
      <x:c r="AD34" s="170" t="n">
        <x:f>IF(AND(ISNUMBER(AB34),ISNUMBER(R34),R34&gt;0),AB34/R34,"")</x:f>
        <x:v>10</x:v>
      </x:c>
      <x:c r="AE34" s="166" t="str">
        <x:v>Estimated — synthetic cookie-bite SKU; comparable WA confection weight</x:v>
      </x:c>
      <x:c r="AF34" s="166" t="str">
        <x:v>https://www.topshelfdata.com/wa/clarkston/greenfield-company-cannabis-mercantile/leaf_product_purchases?business=&amp;from=2023-03-01</x:v>
      </x:c>
    </x:row>
    <x:row r="35">
      <x:c r="A35" s="165" t="str">
        <x:v>Verdelux</x:v>
      </x:c>
      <x:c r="B35" s="165" t="str">
        <x:v>Tangerine Cookie Bites</x:v>
      </x:c>
      <x:c r="C35" s="165" t="str">
        <x:v>Baked Goods</x:v>
      </x:c>
      <x:c r="D35" s="165" t="str">
        <x:v>THC</x:v>
      </x:c>
      <x:c r="E35" s="165" t="str">
        <x:v>Distillate</x:v>
      </x:c>
      <x:c r="F35" s="165" t="str">
        <x:v>Hybrid</x:v>
      </x:c>
      <x:c r="G35" s="165"/>
      <x:c r="H35" s="165" t="str">
        <x:v>THC Only</x:v>
      </x:c>
      <x:c r="I35" s="165"/>
      <x:c r="J35" s="179" t="n">
        <x:v>10</x:v>
      </x:c>
      <x:c r="K35" s="179" t="n">
        <x:f>J35*R35</x:f>
        <x:v>100</x:v>
      </x:c>
      <x:c r="L35" s="179" t="n">
        <x:v>0</x:v>
      </x:c>
      <x:c r="M35" s="179" t="n">
        <x:f>L35*R35</x:f>
        <x:v>0</x:v>
      </x:c>
      <x:c r="N35" s="179" t="n">
        <x:v>0</x:v>
      </x:c>
      <x:c r="O35" s="180" t="n">
        <x:f>N35*R35</x:f>
        <x:v>0</x:v>
      </x:c>
      <x:c r="P35" s="179" t="n">
        <x:v>0</x:v>
      </x:c>
      <x:c r="Q35" s="180" t="n">
        <x:f>P35*R35</x:f>
        <x:v>0</x:v>
      </x:c>
      <x:c r="R35" s="180" t="n">
        <x:v>10</x:v>
      </x:c>
      <x:c r="S35" s="169" t="str">
        <x:v>1 bite</x:v>
      </x:c>
      <x:c r="T35" s="170" t="str">
        <x:v>Tangerine</x:v>
      </x:c>
      <x:c r="U35" s="141" t="str">
        <x:v>Tangerine brings a crisp citrus lift to the baked bite, keeping the distillate version bright and easygoing.</x:v>
      </x:c>
      <x:c r="V35" s="183" t="n">
        <x:v>18</x:v>
      </x:c>
      <x:c r="W35" s="166" t="str">
        <x:v>Current WA BON BOMBS average-price anchor; exact baked goods / distillate SKU may be a catalog mock extension</x:v>
      </x:c>
      <x:c r="X35" s="168" t="str">
        <x:v>https://www.headset.io/brands/bon-bombs</x:v>
      </x:c>
      <x:c r="Y35" s="166" t="str">
        <x:v>Weight</x:v>
      </x:c>
      <x:c r="Z35" s="168" t="n">
        <x:f>IF(AB35="","",ROUNDDOWN(AB35/28.349523125,2))</x:f>
        <x:v>3.52</x:v>
      </x:c>
      <x:c r="AA35" s="165" t="str">
        <x:v>oz</x:v>
      </x:c>
      <x:c r="AB35" s="169" t="n">
        <x:v>100</x:v>
      </x:c>
      <x:c r="AC35" s="165" t="str">
        <x:v>g</x:v>
      </x:c>
      <x:c r="AD35" s="170" t="n">
        <x:f>IF(AND(ISNUMBER(AB35),ISNUMBER(R35),R35&gt;0),AB35/R35,"")</x:f>
        <x:v>10</x:v>
      </x:c>
      <x:c r="AE35" s="166" t="str">
        <x:v>Estimated — synthetic cookie-bite SKU; comparable WA confection weight</x:v>
      </x:c>
      <x:c r="AF35" s="166" t="str">
        <x:v>https://www.topshelfdata.com/wa/clarkston/greenfield-company-cannabis-mercantile/leaf_product_purchases?business=&amp;from=2023-03-01</x:v>
      </x:c>
    </x:row>
    <x:row r="36">
      <x:c r="A36" s="165" t="str">
        <x:v>Wyld</x:v>
      </x:c>
      <x:c r="B36" s="165" t="str">
        <x:v>Dark Chocolate Softgels</x:v>
      </x:c>
      <x:c r="C36" s="165" t="str">
        <x:v>Capsules</x:v>
      </x:c>
      <x:c r="D36" s="165" t="str">
        <x:v>THC</x:v>
      </x:c>
      <x:c r="E36" s="165" t="str">
        <x:v>Live Rosin</x:v>
      </x:c>
      <x:c r="F36" s="165" t="str">
        <x:v>Hybrid</x:v>
      </x:c>
      <x:c r="G36" s="165"/>
      <x:c r="H36" s="165" t="str">
        <x:v>THC Only</x:v>
      </x:c>
      <x:c r="I36" s="165"/>
      <x:c r="J36" s="179" t="n">
        <x:v>10</x:v>
      </x:c>
      <x:c r="K36" s="179" t="n">
        <x:f>J36*R36</x:f>
        <x:v>100</x:v>
      </x:c>
      <x:c r="L36" s="179" t="n">
        <x:v>0</x:v>
      </x:c>
      <x:c r="M36" s="179" t="n">
        <x:f>L36*R36</x:f>
        <x:v>0</x:v>
      </x:c>
      <x:c r="N36" s="179" t="n">
        <x:v>0</x:v>
      </x:c>
      <x:c r="O36" s="180" t="n">
        <x:f>N36*R36</x:f>
        <x:v>0</x:v>
      </x:c>
      <x:c r="P36" s="179" t="n">
        <x:v>0</x:v>
      </x:c>
      <x:c r="Q36" s="180" t="n">
        <x:f>P36*R36</x:f>
        <x:v>0</x:v>
      </x:c>
      <x:c r="R36" s="180" t="n">
        <x:v>10</x:v>
      </x:c>
      <x:c r="S36" s="169" t="str">
        <x:v>1 capsule</x:v>
      </x:c>
      <x:c r="T36" s="170" t="str">
        <x:v>Dark Chocolate</x:v>
      </x:c>
      <x:c r="U36" s="141" t="str">
        <x:v>A compact live rosin softgel with no added flavor, built for shoppers who want a cleaner format than a sweet edible.</x:v>
      </x:c>
      <x:c r="V36" s="183" t="n">
        <x:v>28</x:v>
      </x:c>
      <x:c r="W36" s="166" t="str">
        <x:v>Representative WA brand pricing; exact capsules / live rosin SKU may be a catalog mock extension</x:v>
      </x:c>
      <x:c r="X36" s="168" t="str">
        <x:v>https://www.washingtonweedstores.com/brands/WYLD</x:v>
      </x:c>
      <x:c r="Y36" s="166" t="str">
        <x:v>Weight</x:v>
      </x:c>
      <x:c r="Z36" s="168" t="n">
        <x:f>IF(AB36="","",ROUNDDOWN(AB36/28.349523125,2))</x:f>
        <x:v>0.35</x:v>
      </x:c>
      <x:c r="AA36" s="165" t="str">
        <x:v>oz</x:v>
      </x:c>
      <x:c r="AB36" s="169" t="n">
        <x:v>10</x:v>
      </x:c>
      <x:c r="AC36" s="165" t="str">
        <x:v>g</x:v>
      </x:c>
      <x:c r="AD36" s="170" t="n">
        <x:f>IF(AND(ISNUMBER(AB36),ISNUMBER(R36),R36&gt;0),AB36/R36,"")</x:f>
        <x:v>1</x:v>
      </x:c>
      <x:c r="AE36" s="166" t="str">
        <x:v>Estimated — synthetic 10-count capsule package</x:v>
      </x:c>
      <x:c r="AF36" s="166" t="str">
        <x:v>https://www.topshelfdata.com/wa/shelton/sashas-cannabis/leaf_product_purchases?business=Fairwinds+Manufacturing&amp;from=2024-05-01</x:v>
      </x:c>
    </x:row>
    <x:row r="37">
      <x:c r="A37" s="165" t="str">
        <x:v>Wyld</x:v>
      </x:c>
      <x:c r="B37" s="165" t="str">
        <x:v>Pear Softgels</x:v>
      </x:c>
      <x:c r="C37" s="165" t="str">
        <x:v>Capsules</x:v>
      </x:c>
      <x:c r="D37" s="165" t="str">
        <x:v>THC</x:v>
      </x:c>
      <x:c r="E37" s="165" t="str">
        <x:v>Live Resin</x:v>
      </x:c>
      <x:c r="F37" s="165" t="str">
        <x:v>Sativa</x:v>
      </x:c>
      <x:c r="G37" s="165"/>
      <x:c r="H37" s="165" t="str">
        <x:v>THC Only</x:v>
      </x:c>
      <x:c r="I37" s="165"/>
      <x:c r="J37" s="179" t="n">
        <x:v>10</x:v>
      </x:c>
      <x:c r="K37" s="179" t="n">
        <x:f>J37*R37</x:f>
        <x:v>100</x:v>
      </x:c>
      <x:c r="L37" s="179" t="n">
        <x:v>0</x:v>
      </x:c>
      <x:c r="M37" s="179" t="n">
        <x:f>L37*R37</x:f>
        <x:v>0</x:v>
      </x:c>
      <x:c r="N37" s="179" t="n">
        <x:v>0</x:v>
      </x:c>
      <x:c r="O37" s="180" t="n">
        <x:f>N37*R37</x:f>
        <x:v>0</x:v>
      </x:c>
      <x:c r="P37" s="179" t="n">
        <x:v>0</x:v>
      </x:c>
      <x:c r="Q37" s="180" t="n">
        <x:f>P37*R37</x:f>
        <x:v>0</x:v>
      </x:c>
      <x:c r="R37" s="180" t="n">
        <x:v>10</x:v>
      </x:c>
      <x:c r="S37" s="169" t="str">
        <x:v>1 capsule</x:v>
      </x:c>
      <x:c r="T37" s="170" t="str">
        <x:v>Pear</x:v>
      </x:c>
      <x:c r="U37" s="141" t="str">
        <x:v>This unflavored live resin softgel keeps the format discreet and simple, with the pear name acting as the line’s flavor cue rather than a coating.</x:v>
      </x:c>
      <x:c r="V37" s="183" t="n">
        <x:v>24</x:v>
      </x:c>
      <x:c r="W37" s="166" t="str">
        <x:v>Representative WA brand pricing; exact capsules / live resin SKU may be a catalog mock extension</x:v>
      </x:c>
      <x:c r="X37" s="168" t="str">
        <x:v>https://www.washingtonweedstores.com/brands/WYLD</x:v>
      </x:c>
      <x:c r="Y37" s="166" t="str">
        <x:v>Weight</x:v>
      </x:c>
      <x:c r="Z37" s="168" t="n">
        <x:f>IF(AB37="","",ROUNDDOWN(AB37/28.349523125,2))</x:f>
        <x:v>0.35</x:v>
      </x:c>
      <x:c r="AA37" s="165" t="str">
        <x:v>oz</x:v>
      </x:c>
      <x:c r="AB37" s="169" t="n">
        <x:v>10</x:v>
      </x:c>
      <x:c r="AC37" s="165" t="str">
        <x:v>g</x:v>
      </x:c>
      <x:c r="AD37" s="170" t="n">
        <x:f>IF(AND(ISNUMBER(AB37),ISNUMBER(R37),R37&gt;0),AB37/R37,"")</x:f>
        <x:v>1</x:v>
      </x:c>
      <x:c r="AE37" s="166" t="str">
        <x:v>Estimated — synthetic 10-count capsule package</x:v>
      </x:c>
      <x:c r="AF37" s="166" t="str">
        <x:v>https://www.topshelfdata.com/wa/shelton/sashas-cannabis/leaf_product_purchases?business=Fairwinds+Manufacturing&amp;from=2024-05-01</x:v>
      </x:c>
    </x:row>
    <x:row r="38">
      <x:c r="A38" s="165" t="str">
        <x:v>Wyld</x:v>
      </x:c>
      <x:c r="B38" s="165" t="str">
        <x:v>Watermelon Softgels</x:v>
      </x:c>
      <x:c r="C38" s="165" t="str">
        <x:v>Capsules</x:v>
      </x:c>
      <x:c r="D38" s="165" t="str">
        <x:v>THC</x:v>
      </x:c>
      <x:c r="E38" s="165" t="str">
        <x:v>Live Resin</x:v>
      </x:c>
      <x:c r="F38" s="165" t="str">
        <x:v>Indica</x:v>
      </x:c>
      <x:c r="G38" s="165"/>
      <x:c r="H38" s="165" t="str">
        <x:v>THC Only</x:v>
      </x:c>
      <x:c r="I38" s="165"/>
      <x:c r="J38" s="179" t="n">
        <x:v>10</x:v>
      </x:c>
      <x:c r="K38" s="179" t="n">
        <x:f>J38*R38</x:f>
        <x:v>100</x:v>
      </x:c>
      <x:c r="L38" s="179" t="n">
        <x:v>0</x:v>
      </x:c>
      <x:c r="M38" s="179" t="n">
        <x:f>L38*R38</x:f>
        <x:v>0</x:v>
      </x:c>
      <x:c r="N38" s="179" t="n">
        <x:v>0</x:v>
      </x:c>
      <x:c r="O38" s="180" t="n">
        <x:f>N38*R38</x:f>
        <x:v>0</x:v>
      </x:c>
      <x:c r="P38" s="179" t="n">
        <x:v>0</x:v>
      </x:c>
      <x:c r="Q38" s="180" t="n">
        <x:f>P38*R38</x:f>
        <x:v>0</x:v>
      </x:c>
      <x:c r="R38" s="180" t="n">
        <x:v>10</x:v>
      </x:c>
      <x:c r="S38" s="169" t="str">
        <x:v>1 capsule</x:v>
      </x:c>
      <x:c r="T38" s="170" t="str">
        <x:v>Watermelon</x:v>
      </x:c>
      <x:c r="U38" s="141" t="str">
        <x:v>A neutral live resin softgel that skips sugar and candy texture, offering a compact alternative to traditional watermelon-flavored edibles.</x:v>
      </x:c>
      <x:c r="V38" s="183" t="n">
        <x:v>24</x:v>
      </x:c>
      <x:c r="W38" s="166" t="str">
        <x:v>Representative WA brand pricing; exact capsules / live resin SKU may be a catalog mock extension</x:v>
      </x:c>
      <x:c r="X38" s="168" t="str">
        <x:v>https://www.washingtonweedstores.com/brands/WYLD</x:v>
      </x:c>
      <x:c r="Y38" s="166" t="str">
        <x:v>Weight</x:v>
      </x:c>
      <x:c r="Z38" s="168" t="n">
        <x:f>IF(AB38="","",ROUNDDOWN(AB38/28.349523125,2))</x:f>
        <x:v>0.35</x:v>
      </x:c>
      <x:c r="AA38" s="165" t="str">
        <x:v>oz</x:v>
      </x:c>
      <x:c r="AB38" s="169" t="n">
        <x:v>10</x:v>
      </x:c>
      <x:c r="AC38" s="165" t="str">
        <x:v>g</x:v>
      </x:c>
      <x:c r="AD38" s="170" t="n">
        <x:f>IF(AND(ISNUMBER(AB38),ISNUMBER(R38),R38&gt;0),AB38/R38,"")</x:f>
        <x:v>1</x:v>
      </x:c>
      <x:c r="AE38" s="166" t="str">
        <x:v>Estimated — synthetic 10-count capsule package</x:v>
      </x:c>
      <x:c r="AF38" s="166" t="str">
        <x:v>https://www.topshelfdata.com/wa/shelton/sashas-cannabis/leaf_product_purchases?business=Fairwinds+Manufacturing&amp;from=2024-05-01</x:v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173"/>
      <x:c r="K39" s="173"/>
      <x:c r="L39" s="173"/>
      <x:c r="M39" s="173"/>
      <x:c r="N39" s="173"/>
      <x:c r="O39" s="174"/>
      <x:c r="P39" s="175"/>
      <x:c r="Q39" s="176"/>
      <x:c r="R39" s="176"/>
      <x:c r="S39" s="51"/>
      <x:c r="T39" s="49"/>
      <x:c r="U39" s="121"/>
      <x:c r="V39" s="181"/>
      <x:c r="W39" s="53"/>
      <x:c r="X39" s="121"/>
      <x:c r="Y39" s="53"/>
      <x:c r="Z39" s="121"/>
      <x:c r="AA39"/>
      <x:c r="AB39" s="51"/>
      <x:c r="AC39"/>
      <x:c r="AD39" s="49"/>
      <x:c r="AE39" s="53"/>
      <x:c r="AF39" s="53"/>
    </x:row>
    <x:row r="40" ht="23" customHeight="1">
      <x:c r="A40" s="148" t="str">
        <x:v>CBD PRODUCTS</x:v>
      </x:c>
      <x:c r="B40" s="148"/>
      <x:c r="C40" s="148"/>
      <x:c r="D40" s="148"/>
      <x:c r="E40" s="148"/>
      <x:c r="F40" s="148"/>
      <x:c r="G40" s="148"/>
      <x:c r="H40" s="148"/>
      <x:c r="I40" s="148"/>
      <x:c r="J40" s="177"/>
      <x:c r="K40" s="177"/>
      <x:c r="L40" s="177"/>
      <x:c r="M40" s="177"/>
      <x:c r="N40" s="177"/>
      <x:c r="O40" s="178"/>
      <x:c r="P40" s="177"/>
      <x:c r="Q40" s="178"/>
      <x:c r="R40" s="178"/>
      <x:c r="S40" s="152"/>
      <x:c r="T40" s="153"/>
      <x:c r="U40" s="139"/>
      <x:c r="V40" s="182"/>
      <x:c r="W40" s="149"/>
      <x:c r="X40" s="151"/>
      <x:c r="Y40" s="149"/>
      <x:c r="Z40" s="151"/>
      <x:c r="AA40" s="148"/>
      <x:c r="AB40" s="152"/>
      <x:c r="AC40" s="148"/>
      <x:c r="AD40" s="153"/>
      <x:c r="AE40" s="149"/>
      <x:c r="AF40" s="149"/>
    </x:row>
    <x:row r="41">
      <x:c r="A41" s="165" t="str">
        <x:v>Ceres</x:v>
      </x:c>
      <x:c r="B41" s="165" t="str">
        <x:v>Blackberry Gummies</x:v>
      </x:c>
      <x:c r="C41" s="165" t="str">
        <x:v>Gummies</x:v>
      </x:c>
      <x:c r="D41" s="165" t="str">
        <x:v>CBD</x:v>
      </x:c>
      <x:c r="E41" s="165" t="str">
        <x:v>Rosin</x:v>
      </x:c>
      <x:c r="F41" s="165" t="str">
        <x:v>Holistic</x:v>
      </x:c>
      <x:c r="G41" s="165" t="str">
        <x:v>Comfort</x:v>
      </x:c>
      <x:c r="H41" s="165" t="str">
        <x:v>CBD Only</x:v>
      </x:c>
      <x:c r="I41" s="165"/>
      <x:c r="J41" s="179" t="n">
        <x:v>0</x:v>
      </x:c>
      <x:c r="K41" s="179" t="n">
        <x:f>J41*R41</x:f>
        <x:v>0</x:v>
      </x:c>
      <x:c r="L41" s="179" t="n">
        <x:v>10</x:v>
      </x:c>
      <x:c r="M41" s="179" t="n">
        <x:f>L41*R41</x:f>
        <x:v>100</x:v>
      </x:c>
      <x:c r="N41" s="179" t="n">
        <x:v>0</x:v>
      </x:c>
      <x:c r="O41" s="180" t="n">
        <x:f>N41*R41</x:f>
        <x:v>0</x:v>
      </x:c>
      <x:c r="P41" s="179" t="n">
        <x:v>0</x:v>
      </x:c>
      <x:c r="Q41" s="180" t="n">
        <x:f>P41*R41</x:f>
        <x:v>0</x:v>
      </x:c>
      <x:c r="R41" s="180" t="n">
        <x:v>10</x:v>
      </x:c>
      <x:c r="S41" s="169" t="str">
        <x:v>1 gummy</x:v>
      </x:c>
      <x:c r="T41" s="170" t="str">
        <x:v>Blackberry</x:v>
      </x:c>
      <x:c r="U41" s="141" t="str">
        <x:v>Soft blackberry gummies built around CBD only, with a familiar berry profile and a clean finish that avoids extra cannabinoid complexity.</x:v>
      </x:c>
      <x:c r="V41" s="183" t="n">
        <x:v>22</x:v>
      </x:c>
      <x:c r="W41" s="166" t="str">
        <x:v>Current WA Ceres 100mg 10-pack retail anchor; exact gummies / rosin SKU may be a catalog mock extension</x:v>
      </x:c>
      <x:c r="X41" s="168" t="str">
        <x:v>https://greenrush.io/brands/ceres-garden/</x:v>
      </x:c>
      <x:c r="Y41" s="166" t="str">
        <x:v>Weight</x:v>
      </x:c>
      <x:c r="Z41" s="168" t="n">
        <x:f>IF(AB41="","",ROUNDDOWN(AB41/28.349523125,2))</x:f>
        <x:v>2.18</x:v>
      </x:c>
      <x:c r="AA41" s="165" t="str">
        <x:v>oz</x:v>
      </x:c>
      <x:c r="AB41" s="169" t="n">
        <x:v>62</x:v>
      </x:c>
      <x:c r="AC41" s="165" t="str">
        <x:v>g</x:v>
      </x:c>
      <x:c r="AD41" s="170" t="n">
        <x:f>IF(AND(ISNUMBER(AB41),ISNUMBER(R41),R41&gt;0),AB41/R41,"")</x:f>
        <x:v>6.2</x:v>
      </x:c>
      <x:c r="AE41" s="166" t="str">
        <x:v>Researched — Ceres 10-pack chews in WA traceability data</x:v>
      </x:c>
      <x:c r="AF41" s="166" t="str">
        <x:v>https://www.topshelfdata.com/wa/seattle/clutch-cannabis/leaf_product_purchases?business=Hannah+Industries&amp;from=2024-07-01</x:v>
      </x:c>
    </x:row>
    <x:row r="42">
      <x:c r="A42" s="165" t="str">
        <x:v>Constellation</x:v>
      </x:c>
      <x:c r="B42" s="165" t="str">
        <x:v>Lemon CBD Chocolate Squares</x:v>
      </x:c>
      <x:c r="C42" s="165" t="str">
        <x:v>Chocolate</x:v>
      </x:c>
      <x:c r="D42" s="165" t="str">
        <x:v>CBD</x:v>
      </x:c>
      <x:c r="E42" s="165" t="str">
        <x:v>Live Resin</x:v>
      </x:c>
      <x:c r="F42" s="165" t="str">
        <x:v>Holistic</x:v>
      </x:c>
      <x:c r="G42" s="165" t="str">
        <x:v>Comfort</x:v>
      </x:c>
      <x:c r="H42" s="165" t="str">
        <x:v>CBD Only</x:v>
      </x:c>
      <x:c r="I42" s="165"/>
      <x:c r="J42" s="179" t="n">
        <x:v>0</x:v>
      </x:c>
      <x:c r="K42" s="179" t="n">
        <x:f>J42*R42</x:f>
        <x:v>0</x:v>
      </x:c>
      <x:c r="L42" s="179" t="n">
        <x:v>10</x:v>
      </x:c>
      <x:c r="M42" s="179" t="n">
        <x:f>L42*R42</x:f>
        <x:v>100</x:v>
      </x:c>
      <x:c r="N42" s="179" t="n">
        <x:v>0</x:v>
      </x:c>
      <x:c r="O42" s="180" t="n">
        <x:f>N42*R42</x:f>
        <x:v>0</x:v>
      </x:c>
      <x:c r="P42" s="179" t="n">
        <x:v>0</x:v>
      </x:c>
      <x:c r="Q42" s="180" t="n">
        <x:f>P42*R42</x:f>
        <x:v>0</x:v>
      </x:c>
      <x:c r="R42" s="180" t="n">
        <x:v>10</x:v>
      </x:c>
      <x:c r="S42" s="169" t="str">
        <x:v>1 chocolate piece</x:v>
      </x:c>
      <x:c r="T42" s="170" t="str">
        <x:v>Lemon</x:v>
      </x:c>
      <x:c r="U42" s="141" t="str">
        <x:v>Bright lemon cuts through the richness of the chocolate, giving this CBD-only square a crisp citrus-cocoa balance.</x:v>
      </x:c>
      <x:c r="V42" s="183" t="n">
        <x:v>23</x:v>
      </x:c>
      <x:c r="W42" s="166" t="str">
        <x:v>Representative WA brand pricing; exact chocolate / live resin SKU may be a catalog mock extension</x:v>
      </x:c>
      <x:c r="X42" s="168" t="str">
        <x:v>https://greenrush.io/brands/constellation-cannabis/</x:v>
      </x:c>
      <x:c r="Y42" s="166" t="str">
        <x:v>Weight</x:v>
      </x:c>
      <x:c r="Z42" s="168" t="n">
        <x:f>IF(AB42="","",ROUNDDOWN(AB42/28.349523125,2))</x:f>
        <x:v>3.52</x:v>
      </x:c>
      <x:c r="AA42" s="165" t="str">
        <x:v>oz</x:v>
      </x:c>
      <x:c r="AB42" s="169" t="n">
        <x:v>100</x:v>
      </x:c>
      <x:c r="AC42" s="165" t="str">
        <x:v>g</x:v>
      </x:c>
      <x:c r="AD42" s="170" t="n">
        <x:f>IF(AND(ISNUMBER(AB42),ISNUMBER(R42),R42&gt;0),AB42/R42,"")</x:f>
        <x:v>10</x:v>
      </x:c>
      <x:c r="AE42" s="166" t="str">
        <x:v>Estimated — exact SKU not found; comparable WA 10-piece chocolate/confection package</x:v>
      </x:c>
      <x:c r="AF42" s="166" t="str">
        <x:v>https://www.topshelfdata.com/wa/tacoma/the-gallery-parkland/leaf_product_purchases?business=Stryps&amp;from=2024-04-01</x:v>
      </x:c>
    </x:row>
    <x:row r="43" ht="23" customHeight="1">
      <x:c r="A43" s="165" t="str">
        <x:v>Good Tide</x:v>
      </x:c>
      <x:c r="B43" s="165" t="str">
        <x:v>Mango CBD Fruit Drops</x:v>
      </x:c>
      <x:c r="C43" s="165" t="str">
        <x:v>Hard Candy</x:v>
      </x:c>
      <x:c r="D43" s="165" t="str">
        <x:v>CBD</x:v>
      </x:c>
      <x:c r="E43" s="165" t="str">
        <x:v>Rosin</x:v>
      </x:c>
      <x:c r="F43" s="165" t="str">
        <x:v>Holistic</x:v>
      </x:c>
      <x:c r="G43" s="165" t="str">
        <x:v>Comfort</x:v>
      </x:c>
      <x:c r="H43" s="165" t="str">
        <x:v>CBD Only</x:v>
      </x:c>
      <x:c r="I43" s="165"/>
      <x:c r="J43" s="179" t="n">
        <x:v>0</x:v>
      </x:c>
      <x:c r="K43" s="179" t="n">
        <x:f>J43*R43</x:f>
        <x:v>0</x:v>
      </x:c>
      <x:c r="L43" s="179" t="n">
        <x:v>10</x:v>
      </x:c>
      <x:c r="M43" s="179" t="n">
        <x:f>L43*R43</x:f>
        <x:v>100</x:v>
      </x:c>
      <x:c r="N43" s="179" t="n">
        <x:v>0</x:v>
      </x:c>
      <x:c r="O43" s="180" t="n">
        <x:f>N43*R43</x:f>
        <x:v>0</x:v>
      </x:c>
      <x:c r="P43" s="179" t="n">
        <x:v>0</x:v>
      </x:c>
      <x:c r="Q43" s="180" t="n">
        <x:f>P43*R43</x:f>
        <x:v>0</x:v>
      </x:c>
      <x:c r="R43" s="180" t="n">
        <x:v>10</x:v>
      </x:c>
      <x:c r="S43" s="169" t="str">
        <x:v>1 candy</x:v>
      </x:c>
      <x:c r="T43" s="170" t="str">
        <x:v>Mango</x:v>
      </x:c>
      <x:c r="U43" s="141" t="str">
        <x:v>Mango keeps this CBD-only fruit drop tropical and juicy, with rosin adding a fuller finish as the candy slowly dissolves.</x:v>
      </x:c>
      <x:c r="V43" s="183" t="n">
        <x:v>30</x:v>
      </x:c>
      <x:c r="W43" s="166" t="str">
        <x:v>Representative WA brand pricing; exact hard candy / rosin SKU may be a catalog mock extension</x:v>
      </x:c>
      <x:c r="X43" s="168" t="str">
        <x:v>https://www.washingtonweedstores.com/brands/Good-Tide</x:v>
      </x:c>
      <x:c r="Y43" s="166" t="str">
        <x:v>Weight</x:v>
      </x:c>
      <x:c r="Z43" s="168" t="n">
        <x:f>IF(AB43="","",ROUNDDOWN(AB43/28.349523125,2))</x:f>
        <x:v>1.41</x:v>
      </x:c>
      <x:c r="AA43" s="165" t="str">
        <x:v>oz</x:v>
      </x:c>
      <x:c r="AB43" s="169" t="n">
        <x:v>40</x:v>
      </x:c>
      <x:c r="AC43" s="165" t="str">
        <x:v>g</x:v>
      </x:c>
      <x:c r="AD43" s="170" t="n">
        <x:f>IF(AND(ISNUMBER(AB43),ISNUMBER(R43),R43&gt;0),AB43/R43,"")</x:f>
        <x:v>4</x:v>
      </x:c>
      <x:c r="AE43" s="166" t="str">
        <x:v>Estimated — synthetic hard-candy SKU; comparable 10-count edible package</x:v>
      </x:c>
      <x:c r="AF43" s="166" t="str">
        <x:v>https://weedmaps.com/brands/good-tide/products/good-tide-kiwi-strawberry-solventless-hass-rosin-gummies-refreshing</x:v>
      </x:c>
    </x:row>
    <x:row r="44">
      <x:c r="A44" s="165" t="str">
        <x:v>Green Revolution</x:v>
      </x:c>
      <x:c r="B44" s="165" t="str">
        <x:v>Blueberry CBD Cookie Bites</x:v>
      </x:c>
      <x:c r="C44" s="165" t="str">
        <x:v>Baked Goods</x:v>
      </x:c>
      <x:c r="D44" s="165" t="str">
        <x:v>CBD</x:v>
      </x:c>
      <x:c r="E44" s="165" t="str">
        <x:v>Live Rosin</x:v>
      </x:c>
      <x:c r="F44" s="165" t="str">
        <x:v>Holistic</x:v>
      </x:c>
      <x:c r="G44" s="165" t="str">
        <x:v>Comfort</x:v>
      </x:c>
      <x:c r="H44" s="165" t="str">
        <x:v>CBD Only</x:v>
      </x:c>
      <x:c r="I44" s="165"/>
      <x:c r="J44" s="179" t="n">
        <x:v>0</x:v>
      </x:c>
      <x:c r="K44" s="179" t="n">
        <x:f>J44*R44</x:f>
        <x:v>0</x:v>
      </x:c>
      <x:c r="L44" s="179" t="n">
        <x:v>10</x:v>
      </x:c>
      <x:c r="M44" s="179" t="n">
        <x:f>L44*R44</x:f>
        <x:v>100</x:v>
      </x:c>
      <x:c r="N44" s="179" t="n">
        <x:v>0</x:v>
      </x:c>
      <x:c r="O44" s="180" t="n">
        <x:f>N44*R44</x:f>
        <x:v>0</x:v>
      </x:c>
      <x:c r="P44" s="179" t="n">
        <x:v>0</x:v>
      </x:c>
      <x:c r="Q44" s="180" t="n">
        <x:f>P44*R44</x:f>
        <x:v>0</x:v>
      </x:c>
      <x:c r="R44" s="180" t="n">
        <x:v>10</x:v>
      </x:c>
      <x:c r="S44" s="169" t="str">
        <x:v>1 bite</x:v>
      </x:c>
      <x:c r="T44" s="170" t="str">
        <x:v>Blueberry</x:v>
      </x:c>
      <x:c r="U44" s="141" t="str">
        <x:v>Blueberry brings a mellow baked-fruit note to a soft cookie bite centered entirely on CBD and live rosin.</x:v>
      </x:c>
      <x:c r="V44" s="183" t="n">
        <x:v>32</x:v>
      </x:c>
      <x:c r="W44" s="166" t="str">
        <x:v>Representative WA brand pricing; exact baked goods / live rosin SKU may be a catalog mock extension</x:v>
      </x:c>
      <x:c r="X44" s="168" t="str">
        <x:v>https://www.washingtonweedstores.com/brands/doozies</x:v>
      </x:c>
      <x:c r="Y44" s="166" t="str">
        <x:v>Weight</x:v>
      </x:c>
      <x:c r="Z44" s="168" t="n">
        <x:f>IF(AB44="","",ROUNDDOWN(AB44/28.349523125,2))</x:f>
        <x:v>3.52</x:v>
      </x:c>
      <x:c r="AA44" s="165" t="str">
        <x:v>oz</x:v>
      </x:c>
      <x:c r="AB44" s="169" t="n">
        <x:v>100</x:v>
      </x:c>
      <x:c r="AC44" s="165" t="str">
        <x:v>g</x:v>
      </x:c>
      <x:c r="AD44" s="170" t="n">
        <x:f>IF(AND(ISNUMBER(AB44),ISNUMBER(R44),R44&gt;0),AB44/R44,"")</x:f>
        <x:v>10</x:v>
      </x:c>
      <x:c r="AE44" s="166" t="str">
        <x:v>Estimated — exact baked SKU not found; aligned to comparable 10-serving WA confection package</x:v>
      </x:c>
      <x:c r="AF44" s="166" t="str">
        <x:v>https://www.topshelfdata.com/wa/bothell/herbal-nation/leaf_product_purchases?business=Harmony+Farms&amp;from=2024-02-01</x:v>
      </x:c>
    </x:row>
    <x:row r="45">
      <x:c r="A45" s="165" t="str">
        <x:v>Journeyman</x:v>
      </x:c>
      <x:c r="B45" s="165" t="str">
        <x:v>Pear CBD Softgels</x:v>
      </x:c>
      <x:c r="C45" s="165" t="str">
        <x:v>Capsules</x:v>
      </x:c>
      <x:c r="D45" s="165" t="str">
        <x:v>CBD</x:v>
      </x:c>
      <x:c r="E45" s="165" t="str">
        <x:v>Distillate</x:v>
      </x:c>
      <x:c r="F45" s="165" t="str">
        <x:v>Holistic</x:v>
      </x:c>
      <x:c r="G45" s="165" t="str">
        <x:v>Comfort</x:v>
      </x:c>
      <x:c r="H45" s="165" t="str">
        <x:v>CBD Only</x:v>
      </x:c>
      <x:c r="I45" s="165"/>
      <x:c r="J45" s="179" t="n">
        <x:v>0</x:v>
      </x:c>
      <x:c r="K45" s="179" t="n">
        <x:f>J45*R45</x:f>
        <x:v>0</x:v>
      </x:c>
      <x:c r="L45" s="179" t="n">
        <x:v>10</x:v>
      </x:c>
      <x:c r="M45" s="179" t="n">
        <x:f>L45*R45</x:f>
        <x:v>100</x:v>
      </x:c>
      <x:c r="N45" s="179" t="n">
        <x:v>0</x:v>
      </x:c>
      <x:c r="O45" s="180" t="n">
        <x:f>N45*R45</x:f>
        <x:v>0</x:v>
      </x:c>
      <x:c r="P45" s="179" t="n">
        <x:v>0</x:v>
      </x:c>
      <x:c r="Q45" s="180" t="n">
        <x:f>P45*R45</x:f>
        <x:v>0</x:v>
      </x:c>
      <x:c r="R45" s="180" t="n">
        <x:v>10</x:v>
      </x:c>
      <x:c r="S45" s="169" t="str">
        <x:v>1 capsule</x:v>
      </x:c>
      <x:c r="T45" s="170" t="str">
        <x:v>Unflavored</x:v>
      </x:c>
      <x:c r="U45" s="141" t="str">
        <x:v>An unflavored CBD-only softgel that keeps the formula simple, discreet, and free from added sugar or candy flavoring.</x:v>
      </x:c>
      <x:c r="V45" s="183" t="n">
        <x:v>30</x:v>
      </x:c>
      <x:c r="W45" s="166" t="str">
        <x:v>Representative WA brand pricing; exact capsules / distillate SKU may be a catalog mock extension</x:v>
      </x:c>
      <x:c r="X45" s="168" t="str">
        <x:v>https://www.washingtonweedstores.com/brands/Journeyman</x:v>
      </x:c>
      <x:c r="Y45" s="166" t="str">
        <x:v>Weight</x:v>
      </x:c>
      <x:c r="Z45" s="168" t="n">
        <x:f>IF(AB45="","",ROUNDDOWN(AB45/28.349523125,2))</x:f>
        <x:v>0.35</x:v>
      </x:c>
      <x:c r="AA45" s="165" t="str">
        <x:v>oz</x:v>
      </x:c>
      <x:c r="AB45" s="169" t="n">
        <x:v>10</x:v>
      </x:c>
      <x:c r="AC45" s="165" t="str">
        <x:v>g</x:v>
      </x:c>
      <x:c r="AD45" s="170" t="n">
        <x:f>IF(AND(ISNUMBER(AB45),ISNUMBER(R45),R45&gt;0),AB45/R45,"")</x:f>
        <x:v>1</x:v>
      </x:c>
      <x:c r="AE45" s="166" t="str">
        <x:v>Estimated — synthetic 10-count capsule package</x:v>
      </x:c>
      <x:c r="AF45" s="166" t="str">
        <x:v>https://www.topshelfdata.com/wa/shelton/sashas-cannabis/leaf_product_purchases?business=Fairwinds+Manufacturing&amp;from=2024-05-01</x:v>
      </x:c>
    </x:row>
    <x:row r="46">
      <x:c r="A46" s="165" t="str">
        <x:v>Marmas</x:v>
      </x:c>
      <x:c r="B46" s="165" t="str">
        <x:v>Peach CBD Gummies</x:v>
      </x:c>
      <x:c r="C46" s="165" t="str">
        <x:v>Gummies</x:v>
      </x:c>
      <x:c r="D46" s="165" t="str">
        <x:v>CBD</x:v>
      </x:c>
      <x:c r="E46" s="165" t="str">
        <x:v>Live Resin</x:v>
      </x:c>
      <x:c r="F46" s="165" t="str">
        <x:v>Holistic</x:v>
      </x:c>
      <x:c r="G46" s="165" t="str">
        <x:v>Comfort</x:v>
      </x:c>
      <x:c r="H46" s="165" t="str">
        <x:v>CBD Only</x:v>
      </x:c>
      <x:c r="I46" s="165"/>
      <x:c r="J46" s="179" t="n">
        <x:v>0</x:v>
      </x:c>
      <x:c r="K46" s="179" t="n">
        <x:f>J46*R46</x:f>
        <x:v>0</x:v>
      </x:c>
      <x:c r="L46" s="179" t="n">
        <x:v>10</x:v>
      </x:c>
      <x:c r="M46" s="179" t="n">
        <x:f>L46*R46</x:f>
        <x:v>100</x:v>
      </x:c>
      <x:c r="N46" s="179" t="n">
        <x:v>0</x:v>
      </x:c>
      <x:c r="O46" s="180" t="n">
        <x:f>N46*R46</x:f>
        <x:v>0</x:v>
      </x:c>
      <x:c r="P46" s="179" t="n">
        <x:v>0</x:v>
      </x:c>
      <x:c r="Q46" s="180" t="n">
        <x:f>P46*R46</x:f>
        <x:v>0</x:v>
      </x:c>
      <x:c r="R46" s="180" t="n">
        <x:v>10</x:v>
      </x:c>
      <x:c r="S46" s="169" t="str">
        <x:v>1 gummy</x:v>
      </x:c>
      <x:c r="T46" s="170" t="str">
        <x:v>Peach</x:v>
      </x:c>
      <x:c r="U46" s="141" t="str">
        <x:v>Peach gives this CBD-only gummy a soft stone-fruit sweetness, finished with the slightly fuller character of live resin.</x:v>
      </x:c>
      <x:c r="V46" s="183" t="n">
        <x:v>25</x:v>
      </x:c>
      <x:c r="W46" s="166" t="str">
        <x:v>Official Marmas edible price anchor; exact gummies / live resin SKU may be a catalog mock extension</x:v>
      </x:c>
      <x:c r="X46" s="168" t="str">
        <x:v>https://marmasofficial.com/</x:v>
      </x:c>
      <x:c r="Y46" s="166" t="str">
        <x:v>Weight</x:v>
      </x:c>
      <x:c r="Z46" s="168" t="n">
        <x:f>IF(AB46="","",ROUNDDOWN(AB46/28.349523125,2))</x:f>
        <x:v>1.76</x:v>
      </x:c>
      <x:c r="AA46" s="165" t="str">
        <x:v>oz</x:v>
      </x:c>
      <x:c r="AB46" s="169" t="n">
        <x:v>50</x:v>
      </x:c>
      <x:c r="AC46" s="165" t="str">
        <x:v>g</x:v>
      </x:c>
      <x:c r="AD46" s="170" t="n">
        <x:f>IF(AND(ISNUMBER(AB46),ISNUMBER(R46),R46&gt;0),AB46/R46,"")</x:f>
        <x:v>5</x:v>
      </x:c>
      <x:c r="AE46" s="166" t="str">
        <x:v>Researched — Marmas 10-pack examples in WA traceability data</x:v>
      </x:c>
      <x:c r="AF46" s="166" t="str">
        <x:v>https://www.topshelfdata.com/wa/tacoma/diamond-green/leaf_product_purchases?business=Mt+Baker+Homegrown&amp;from=2024-07-01</x:v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173"/>
      <x:c r="K47" s="173"/>
      <x:c r="L47" s="173"/>
      <x:c r="M47" s="173"/>
      <x:c r="N47" s="173"/>
      <x:c r="O47" s="174"/>
      <x:c r="P47" s="175"/>
      <x:c r="Q47" s="176"/>
      <x:c r="R47" s="176"/>
      <x:c r="S47" s="51"/>
      <x:c r="T47" s="49"/>
      <x:c r="U47" s="121"/>
      <x:c r="V47" s="181"/>
      <x:c r="W47" s="53"/>
      <x:c r="X47" s="121"/>
      <x:c r="Y47" s="53"/>
      <x:c r="Z47" s="121"/>
      <x:c r="AA47"/>
      <x:c r="AB47" s="51"/>
      <x:c r="AC47"/>
      <x:c r="AD47" s="49"/>
      <x:c r="AE47" s="53"/>
      <x:c r="AF47" s="53"/>
    </x:row>
    <x:row r="48" ht="23" customHeight="1">
      <x:c r="A48" s="148" t="str">
        <x:v>BLEND PRODUCTS</x:v>
      </x:c>
      <x:c r="B48" s="148"/>
      <x:c r="C48" s="148"/>
      <x:c r="D48" s="148"/>
      <x:c r="E48" s="148"/>
      <x:c r="F48" s="148"/>
      <x:c r="G48" s="148"/>
      <x:c r="H48" s="148"/>
      <x:c r="I48" s="148"/>
      <x:c r="J48" s="177"/>
      <x:c r="K48" s="177"/>
      <x:c r="L48" s="177"/>
      <x:c r="M48" s="177"/>
      <x:c r="N48" s="177"/>
      <x:c r="O48" s="178"/>
      <x:c r="P48" s="177"/>
      <x:c r="Q48" s="178"/>
      <x:c r="R48" s="178"/>
      <x:c r="S48" s="152"/>
      <x:c r="T48" s="153"/>
      <x:c r="U48" s="139"/>
      <x:c r="V48" s="182"/>
      <x:c r="W48" s="149"/>
      <x:c r="X48" s="151"/>
      <x:c r="Y48" s="149"/>
      <x:c r="Z48" s="151"/>
      <x:c r="AA48" s="148"/>
      <x:c r="AB48" s="152"/>
      <x:c r="AC48" s="148"/>
      <x:c r="AD48" s="153"/>
      <x:c r="AE48" s="149"/>
      <x:c r="AF48" s="149"/>
    </x:row>
    <x:row r="49">
      <x:c r="A49" s="165" t="str">
        <x:v>Ceres</x:v>
      </x:c>
      <x:c r="B49" s="165" t="str">
        <x:v>Huckleberry Gummies</x:v>
      </x:c>
      <x:c r="C49" s="165" t="str">
        <x:v>Gummies</x:v>
      </x:c>
      <x:c r="D49" s="165" t="str">
        <x:v>Blend</x:v>
      </x:c>
      <x:c r="E49" s="165" t="str">
        <x:v>Distillate</x:v>
      </x:c>
      <x:c r="F49" s="165" t="str">
        <x:v>Holistic</x:v>
      </x:c>
      <x:c r="G49" s="165" t="str">
        <x:v>Chill</x:v>
      </x:c>
      <x:c r="H49" s="165" t="str">
        <x:v>THC:CBN</x:v>
      </x:c>
      <x:c r="I49" s="165" t="str">
        <x:v>1:5</x:v>
      </x:c>
      <x:c r="J49" s="179" t="n">
        <x:v>2</x:v>
      </x:c>
      <x:c r="K49" s="179" t="n">
        <x:f>J49*R49</x:f>
        <x:v>20</x:v>
      </x:c>
      <x:c r="L49" s="179" t="n">
        <x:v>0</x:v>
      </x:c>
      <x:c r="M49" s="179" t="n">
        <x:f>L49*R49</x:f>
        <x:v>0</x:v>
      </x:c>
      <x:c r="N49" s="179" t="n">
        <x:v>10</x:v>
      </x:c>
      <x:c r="O49" s="180" t="n">
        <x:f>N49*R49</x:f>
        <x:v>100</x:v>
      </x:c>
      <x:c r="P49" s="179" t="n">
        <x:v>0</x:v>
      </x:c>
      <x:c r="Q49" s="180" t="n">
        <x:f>P49*R49</x:f>
        <x:v>0</x:v>
      </x:c>
      <x:c r="R49" s="180" t="n">
        <x:v>10</x:v>
      </x:c>
      <x:c r="S49" s="169" t="str">
        <x:v>1 gummy</x:v>
      </x:c>
      <x:c r="T49" s="170" t="str">
        <x:v>Huckleberry</x:v>
      </x:c>
      <x:c r="U49" s="141" t="str">
        <x:v>Huckleberry keeps the gummy dark and fruity, while the 1:5 THC:CBN blend stays clearly differentiated from a standard THC edible.</x:v>
      </x:c>
      <x:c r="V49" s="183" t="n">
        <x:v>23</x:v>
      </x:c>
      <x:c r="W49" s="166" t="str">
        <x:v>Current WA Ceres 100mg 10-pack retail anchor; exact gummies / distillate SKU may be a catalog mock extension</x:v>
      </x:c>
      <x:c r="X49" s="168" t="str">
        <x:v>https://greenrush.io/brands/ceres-garden/</x:v>
      </x:c>
      <x:c r="Y49" s="166" t="str">
        <x:v>Weight</x:v>
      </x:c>
      <x:c r="Z49" s="168" t="n">
        <x:f>IF(AB49="","",ROUNDDOWN(AB49/28.349523125,2))</x:f>
        <x:v>2.18</x:v>
      </x:c>
      <x:c r="AA49" s="165" t="str">
        <x:v>oz</x:v>
      </x:c>
      <x:c r="AB49" s="169" t="n">
        <x:v>62</x:v>
      </x:c>
      <x:c r="AC49" s="165" t="str">
        <x:v>g</x:v>
      </x:c>
      <x:c r="AD49" s="170" t="n">
        <x:f>IF(AND(ISNUMBER(AB49),ISNUMBER(R49),R49&gt;0),AB49/R49,"")</x:f>
        <x:v>6.2</x:v>
      </x:c>
      <x:c r="AE49" s="166" t="str">
        <x:v>Researched — Ceres 10-pack chews in WA traceability data</x:v>
      </x:c>
      <x:c r="AF49" s="166" t="str">
        <x:v>https://www.topshelfdata.com/wa/seattle/clutch-cannabis/leaf_product_purchases?business=Hannah+Industries&amp;from=2024-07-01</x:v>
      </x:c>
    </x:row>
    <x:row r="50">
      <x:c r="A50" s="165" t="str">
        <x:v>Constellation</x:v>
      </x:c>
      <x:c r="B50" s="165" t="str">
        <x:v>Mango Chocolate Squares</x:v>
      </x:c>
      <x:c r="C50" s="165" t="str">
        <x:v>Chocolate</x:v>
      </x:c>
      <x:c r="D50" s="165" t="str">
        <x:v>Blend</x:v>
      </x:c>
      <x:c r="E50" s="165" t="str">
        <x:v>Live Resin</x:v>
      </x:c>
      <x:c r="F50" s="165" t="str">
        <x:v>Holistic</x:v>
      </x:c>
      <x:c r="G50" s="165" t="str">
        <x:v>Creative</x:v>
      </x:c>
      <x:c r="H50" s="165" t="str">
        <x:v>THC:CBG</x:v>
      </x:c>
      <x:c r="I50" s="165" t="str">
        <x:v>1:10</x:v>
      </x:c>
      <x:c r="J50" s="179" t="n">
        <x:v>1</x:v>
      </x:c>
      <x:c r="K50" s="179" t="n">
        <x:f>J50*R50</x:f>
        <x:v>10</x:v>
      </x:c>
      <x:c r="L50" s="179" t="n">
        <x:v>0</x:v>
      </x:c>
      <x:c r="M50" s="179" t="n">
        <x:f>L50*R50</x:f>
        <x:v>0</x:v>
      </x:c>
      <x:c r="N50" s="179" t="n">
        <x:v>0</x:v>
      </x:c>
      <x:c r="O50" s="180" t="n">
        <x:f>N50*R50</x:f>
        <x:v>0</x:v>
      </x:c>
      <x:c r="P50" s="179" t="n">
        <x:v>10</x:v>
      </x:c>
      <x:c r="Q50" s="180" t="n">
        <x:f>P50*R50</x:f>
        <x:v>100</x:v>
      </x:c>
      <x:c r="R50" s="180" t="n">
        <x:v>10</x:v>
      </x:c>
      <x:c r="S50" s="169" t="str">
        <x:v>1 chocolate piece</x:v>
      </x:c>
      <x:c r="T50" s="170" t="str">
        <x:v>Mango</x:v>
      </x:c>
      <x:c r="U50" s="141" t="str">
        <x:v>Mango and chocolate create a rich tropical-cocoa pairing around a 1:10 THC:CBG blend and live resin base.</x:v>
      </x:c>
      <x:c r="V50" s="183" t="n">
        <x:v>23</x:v>
      </x:c>
      <x:c r="W50" s="166" t="str">
        <x:v>Representative WA brand pricing; exact chocolate / live resin SKU may be a catalog mock extension</x:v>
      </x:c>
      <x:c r="X50" s="168" t="str">
        <x:v>https://greenrush.io/brands/constellation-cannabis/</x:v>
      </x:c>
      <x:c r="Y50" s="166" t="str">
        <x:v>Weight</x:v>
      </x:c>
      <x:c r="Z50" s="168" t="n">
        <x:f>IF(AB50="","",ROUNDDOWN(AB50/28.349523125,2))</x:f>
        <x:v>3.52</x:v>
      </x:c>
      <x:c r="AA50" s="165" t="str">
        <x:v>oz</x:v>
      </x:c>
      <x:c r="AB50" s="169" t="n">
        <x:v>100</x:v>
      </x:c>
      <x:c r="AC50" s="165" t="str">
        <x:v>g</x:v>
      </x:c>
      <x:c r="AD50" s="170" t="n">
        <x:f>IF(AND(ISNUMBER(AB50),ISNUMBER(R50),R50&gt;0),AB50/R50,"")</x:f>
        <x:v>10</x:v>
      </x:c>
      <x:c r="AE50" s="166" t="str">
        <x:v>Estimated — exact SKU not found; comparable WA 10-piece chocolate/confection package</x:v>
      </x:c>
      <x:c r="AF50" s="166" t="str">
        <x:v>https://www.topshelfdata.com/wa/tacoma/the-gallery-parkland/leaf_product_purchases?business=Stryps&amp;from=2024-04-01</x:v>
      </x:c>
    </x:row>
    <x:row r="51">
      <x:c r="A51" s="165" t="str">
        <x:v>Constellation</x:v>
      </x:c>
      <x:c r="B51" s="165" t="str">
        <x:v>Blue Raspberry Chocolate Squares</x:v>
      </x:c>
      <x:c r="C51" s="165" t="str">
        <x:v>Chocolate</x:v>
      </x:c>
      <x:c r="D51" s="165" t="str">
        <x:v>Blend</x:v>
      </x:c>
      <x:c r="E51" s="165" t="str">
        <x:v>Live Rosin</x:v>
      </x:c>
      <x:c r="F51" s="165" t="str">
        <x:v>Holistic</x:v>
      </x:c>
      <x:c r="G51" s="165" t="str">
        <x:v>Relax</x:v>
      </x:c>
      <x:c r="H51" s="165" t="str">
        <x:v>CBD:CBN</x:v>
      </x:c>
      <x:c r="I51" s="165" t="str">
        <x:v>10:1</x:v>
      </x:c>
      <x:c r="J51" s="179" t="n">
        <x:v>0</x:v>
      </x:c>
      <x:c r="K51" s="179" t="n">
        <x:f>J51*R51</x:f>
        <x:v>0</x:v>
      </x:c>
      <x:c r="L51" s="179" t="n">
        <x:v>10</x:v>
      </x:c>
      <x:c r="M51" s="179" t="n">
        <x:f>L51*R51</x:f>
        <x:v>100</x:v>
      </x:c>
      <x:c r="N51" s="179" t="n">
        <x:v>1</x:v>
      </x:c>
      <x:c r="O51" s="180" t="n">
        <x:f>N51*R51</x:f>
        <x:v>10</x:v>
      </x:c>
      <x:c r="P51" s="179" t="n">
        <x:v>0</x:v>
      </x:c>
      <x:c r="Q51" s="180" t="n">
        <x:f>P51*R51</x:f>
        <x:v>0</x:v>
      </x:c>
      <x:c r="R51" s="180" t="n">
        <x:v>10</x:v>
      </x:c>
      <x:c r="S51" s="169" t="str">
        <x:v>1 chocolate piece</x:v>
      </x:c>
      <x:c r="T51" s="170" t="str">
        <x:v>Blue Raspberry</x:v>
      </x:c>
      <x:c r="U51" s="141" t="str">
        <x:v>Blue raspberry brings a playful fruit note to the chocolate, paired with a CBD-forward 10:1 CBD:CBN blend and live rosin.</x:v>
      </x:c>
      <x:c r="V51" s="183" t="n">
        <x:v>26</x:v>
      </x:c>
      <x:c r="W51" s="166" t="str">
        <x:v>Representative WA brand pricing; exact chocolate / live rosin SKU may be a catalog mock extension</x:v>
      </x:c>
      <x:c r="X51" s="168" t="str">
        <x:v>https://greenrush.io/brands/constellation-cannabis/</x:v>
      </x:c>
      <x:c r="Y51" s="166" t="str">
        <x:v>Weight</x:v>
      </x:c>
      <x:c r="Z51" s="168" t="n">
        <x:f>IF(AB51="","",ROUNDDOWN(AB51/28.349523125,2))</x:f>
        <x:v>3.52</x:v>
      </x:c>
      <x:c r="AA51" s="165" t="str">
        <x:v>oz</x:v>
      </x:c>
      <x:c r="AB51" s="169" t="n">
        <x:v>100</x:v>
      </x:c>
      <x:c r="AC51" s="165" t="str">
        <x:v>g</x:v>
      </x:c>
      <x:c r="AD51" s="170" t="n">
        <x:f>IF(AND(ISNUMBER(AB51),ISNUMBER(R51),R51&gt;0),AB51/R51,"")</x:f>
        <x:v>10</x:v>
      </x:c>
      <x:c r="AE51" s="166" t="str">
        <x:v>Estimated — exact SKU not found; comparable WA 10-piece chocolate/confection package</x:v>
      </x:c>
      <x:c r="AF51" s="166" t="str">
        <x:v>https://www.topshelfdata.com/wa/tacoma/the-gallery-parkland/leaf_product_purchases?business=Stryps&amp;from=2024-04-01</x:v>
      </x:c>
    </x:row>
    <x:row r="52">
      <x:c r="A52" s="165" t="str">
        <x:v>Good Tide</x:v>
      </x:c>
      <x:c r="B52" s="165" t="str">
        <x:v>Pear Fruit Drops</x:v>
      </x:c>
      <x:c r="C52" s="165" t="str">
        <x:v>Hard Candy</x:v>
      </x:c>
      <x:c r="D52" s="165" t="str">
        <x:v>Blend</x:v>
      </x:c>
      <x:c r="E52" s="165" t="str">
        <x:v>Rosin</x:v>
      </x:c>
      <x:c r="F52" s="165" t="str">
        <x:v>Holistic</x:v>
      </x:c>
      <x:c r="G52" s="165" t="str">
        <x:v>Balanced</x:v>
      </x:c>
      <x:c r="H52" s="165" t="str">
        <x:v>THC:CBD</x:v>
      </x:c>
      <x:c r="I52" s="165" t="str">
        <x:v>1:1</x:v>
      </x:c>
      <x:c r="J52" s="179" t="n">
        <x:v>10</x:v>
      </x:c>
      <x:c r="K52" s="179" t="n">
        <x:f>J52*R52</x:f>
        <x:v>100</x:v>
      </x:c>
      <x:c r="L52" s="179" t="n">
        <x:v>10</x:v>
      </x:c>
      <x:c r="M52" s="179" t="n">
        <x:f>L52*R52</x:f>
        <x:v>100</x:v>
      </x:c>
      <x:c r="N52" s="179" t="n">
        <x:v>0</x:v>
      </x:c>
      <x:c r="O52" s="180" t="n">
        <x:f>N52*R52</x:f>
        <x:v>0</x:v>
      </x:c>
      <x:c r="P52" s="179" t="n">
        <x:v>0</x:v>
      </x:c>
      <x:c r="Q52" s="180" t="n">
        <x:f>P52*R52</x:f>
        <x:v>0</x:v>
      </x:c>
      <x:c r="R52" s="180" t="n">
        <x:v>10</x:v>
      </x:c>
      <x:c r="S52" s="169" t="str">
        <x:v>1 candy</x:v>
      </x:c>
      <x:c r="T52" s="170" t="str">
        <x:v>Pear</x:v>
      </x:c>
      <x:c r="U52" s="141" t="str">
        <x:v>Pear gives this slow-dissolving rosin drop a crisp fruit profile, with an even 1:1 THC:CBD balance at the center of the formula.</x:v>
      </x:c>
      <x:c r="V52" s="183" t="n">
        <x:v>35</x:v>
      </x:c>
      <x:c r="W52" s="166" t="str">
        <x:v>Representative WA brand pricing; exact hard candy / rosin SKU may be a catalog mock extension</x:v>
      </x:c>
      <x:c r="X52" s="168" t="str">
        <x:v>https://www.washingtonweedstores.com/brands/Good-Tide</x:v>
      </x:c>
      <x:c r="Y52" s="166" t="str">
        <x:v>Weight</x:v>
      </x:c>
      <x:c r="Z52" s="168" t="n">
        <x:f>IF(AB52="","",ROUNDDOWN(AB52/28.349523125,2))</x:f>
        <x:v>1.41</x:v>
      </x:c>
      <x:c r="AA52" s="165" t="str">
        <x:v>oz</x:v>
      </x:c>
      <x:c r="AB52" s="169" t="n">
        <x:v>40</x:v>
      </x:c>
      <x:c r="AC52" s="165" t="str">
        <x:v>g</x:v>
      </x:c>
      <x:c r="AD52" s="170" t="n">
        <x:f>IF(AND(ISNUMBER(AB52),ISNUMBER(R52),R52&gt;0),AB52/R52,"")</x:f>
        <x:v>4</x:v>
      </x:c>
      <x:c r="AE52" s="166" t="str">
        <x:v>Estimated — synthetic hard-candy SKU; comparable 10-count edible package</x:v>
      </x:c>
      <x:c r="AF52" s="166" t="str">
        <x:v>https://weedmaps.com/brands/good-tide/products/good-tide-kiwi-strawberry-solventless-hass-rosin-gummies-refreshing</x:v>
      </x:c>
    </x:row>
    <x:row r="53">
      <x:c r="A53" s="165" t="str">
        <x:v>Good Tide</x:v>
      </x:c>
      <x:c r="B53" s="165" t="str">
        <x:v>Dark Chocolate Fruit Drops</x:v>
      </x:c>
      <x:c r="C53" s="165" t="str">
        <x:v>Hard Candy</x:v>
      </x:c>
      <x:c r="D53" s="165" t="str">
        <x:v>Blend</x:v>
      </x:c>
      <x:c r="E53" s="165" t="str">
        <x:v>Distillate</x:v>
      </x:c>
      <x:c r="F53" s="165" t="str">
        <x:v>Holistic</x:v>
      </x:c>
      <x:c r="G53" s="165" t="str">
        <x:v>Relax</x:v>
      </x:c>
      <x:c r="H53" s="165" t="str">
        <x:v>CBD:CBN</x:v>
      </x:c>
      <x:c r="I53" s="165" t="str">
        <x:v>5:1</x:v>
      </x:c>
      <x:c r="J53" s="179" t="n">
        <x:v>0</x:v>
      </x:c>
      <x:c r="K53" s="179" t="n">
        <x:f>J53*R53</x:f>
        <x:v>0</x:v>
      </x:c>
      <x:c r="L53" s="179" t="n">
        <x:v>10</x:v>
      </x:c>
      <x:c r="M53" s="179" t="n">
        <x:f>L53*R53</x:f>
        <x:v>100</x:v>
      </x:c>
      <x:c r="N53" s="179" t="n">
        <x:v>2</x:v>
      </x:c>
      <x:c r="O53" s="180" t="n">
        <x:f>N53*R53</x:f>
        <x:v>20</x:v>
      </x:c>
      <x:c r="P53" s="179" t="n">
        <x:v>0</x:v>
      </x:c>
      <x:c r="Q53" s="180" t="n">
        <x:f>P53*R53</x:f>
        <x:v>0</x:v>
      </x:c>
      <x:c r="R53" s="180" t="n">
        <x:v>10</x:v>
      </x:c>
      <x:c r="S53" s="169" t="str">
        <x:v>1 candy</x:v>
      </x:c>
      <x:c r="T53" s="170" t="str">
        <x:v>Dark Chocolate</x:v>
      </x:c>
      <x:c r="U53" s="141" t="str">
        <x:v>A darker, cocoa-inspired fruit drop built around a 5:1 CBD:CBN blend, keeping the flavor richer than the line’s brighter fruit options.</x:v>
      </x:c>
      <x:c r="V53" s="183" t="n">
        <x:v>27</x:v>
      </x:c>
      <x:c r="W53" s="166" t="str">
        <x:v>Representative WA brand pricing; exact hard candy / distillate SKU may be a catalog mock extension</x:v>
      </x:c>
      <x:c r="X53" s="168" t="str">
        <x:v>https://www.washingtonweedstores.com/brands/Good-Tide</x:v>
      </x:c>
      <x:c r="Y53" s="166" t="str">
        <x:v>Weight</x:v>
      </x:c>
      <x:c r="Z53" s="168" t="n">
        <x:f>IF(AB53="","",ROUNDDOWN(AB53/28.349523125,2))</x:f>
        <x:v>1.41</x:v>
      </x:c>
      <x:c r="AA53" s="165" t="str">
        <x:v>oz</x:v>
      </x:c>
      <x:c r="AB53" s="169" t="n">
        <x:v>40</x:v>
      </x:c>
      <x:c r="AC53" s="165" t="str">
        <x:v>g</x:v>
      </x:c>
      <x:c r="AD53" s="170" t="n">
        <x:f>IF(AND(ISNUMBER(AB53),ISNUMBER(R53),R53&gt;0),AB53/R53,"")</x:f>
        <x:v>4</x:v>
      </x:c>
      <x:c r="AE53" s="166" t="str">
        <x:v>Estimated — synthetic hard-candy SKU; comparable 10-count edible package</x:v>
      </x:c>
      <x:c r="AF53" s="166" t="str">
        <x:v>https://weedmaps.com/brands/good-tide/products/good-tide-kiwi-strawberry-solventless-hass-rosin-gummies-refreshing</x:v>
      </x:c>
    </x:row>
    <x:row r="54">
      <x:c r="A54" s="165" t="str">
        <x:v>Green Revolution</x:v>
      </x:c>
      <x:c r="B54" s="165" t="str">
        <x:v>Raspberry Cookie Bites</x:v>
      </x:c>
      <x:c r="C54" s="165" t="str">
        <x:v>Baked Goods</x:v>
      </x:c>
      <x:c r="D54" s="165" t="str">
        <x:v>Blend</x:v>
      </x:c>
      <x:c r="E54" s="165" t="str">
        <x:v>Live Rosin</x:v>
      </x:c>
      <x:c r="F54" s="165" t="str">
        <x:v>Holistic</x:v>
      </x:c>
      <x:c r="G54" s="165" t="str">
        <x:v>Deep Sleep</x:v>
      </x:c>
      <x:c r="H54" s="165" t="str">
        <x:v>THC:CBD:CBN</x:v>
      </x:c>
      <x:c r="I54" s="165" t="str">
        <x:v>1:1:1</x:v>
      </x:c>
      <x:c r="J54" s="179" t="n">
        <x:v>10</x:v>
      </x:c>
      <x:c r="K54" s="179" t="n">
        <x:f>J54*R54</x:f>
        <x:v>100</x:v>
      </x:c>
      <x:c r="L54" s="179" t="n">
        <x:v>10</x:v>
      </x:c>
      <x:c r="M54" s="179" t="n">
        <x:f>L54*R54</x:f>
        <x:v>100</x:v>
      </x:c>
      <x:c r="N54" s="179" t="n">
        <x:v>10</x:v>
      </x:c>
      <x:c r="O54" s="180" t="n">
        <x:f>N54*R54</x:f>
        <x:v>100</x:v>
      </x:c>
      <x:c r="P54" s="179" t="n">
        <x:v>0</x:v>
      </x:c>
      <x:c r="Q54" s="180" t="n">
        <x:f>P54*R54</x:f>
        <x:v>0</x:v>
      </x:c>
      <x:c r="R54" s="180" t="n">
        <x:v>10</x:v>
      </x:c>
      <x:c r="S54" s="169" t="str">
        <x:v>1 bite</x:v>
      </x:c>
      <x:c r="T54" s="170" t="str">
        <x:v>Raspberry</x:v>
      </x:c>
      <x:c r="U54" s="141" t="str">
        <x:v>Raspberry cuts through a soft baked base in a live rosin cookie bite carrying equal parts THC, CBD, and CBN.</x:v>
      </x:c>
      <x:c r="V54" s="183" t="n">
        <x:v>40</x:v>
      </x:c>
      <x:c r="W54" s="166" t="str">
        <x:v>Representative WA brand pricing; exact baked goods / live rosin SKU may be a catalog mock extension</x:v>
      </x:c>
      <x:c r="X54" s="168" t="str">
        <x:v>https://www.washingtonweedstores.com/brands/doozies</x:v>
      </x:c>
      <x:c r="Y54" s="166" t="str">
        <x:v>Weight</x:v>
      </x:c>
      <x:c r="Z54" s="168" t="n">
        <x:f>IF(AB54="","",ROUNDDOWN(AB54/28.349523125,2))</x:f>
        <x:v>3.52</x:v>
      </x:c>
      <x:c r="AA54" s="165" t="str">
        <x:v>oz</x:v>
      </x:c>
      <x:c r="AB54" s="169" t="n">
        <x:v>100</x:v>
      </x:c>
      <x:c r="AC54" s="165" t="str">
        <x:v>g</x:v>
      </x:c>
      <x:c r="AD54" s="170" t="n">
        <x:f>IF(AND(ISNUMBER(AB54),ISNUMBER(R54),R54&gt;0),AB54/R54,"")</x:f>
        <x:v>10</x:v>
      </x:c>
      <x:c r="AE54" s="166" t="str">
        <x:v>Estimated — exact baked SKU not found; aligned to comparable 10-serving WA confection package</x:v>
      </x:c>
      <x:c r="AF54" s="166" t="str">
        <x:v>https://www.topshelfdata.com/wa/bothell/herbal-nation/leaf_product_purchases?business=Harmony+Farms&amp;from=2024-02-01</x:v>
      </x:c>
    </x:row>
    <x:row r="55">
      <x:c r="A55" s="165" t="str">
        <x:v>Green Revolution</x:v>
      </x:c>
      <x:c r="B55" s="165" t="str">
        <x:v>Lemon Cookie Bites</x:v>
      </x:c>
      <x:c r="C55" s="165" t="str">
        <x:v>Baked Goods</x:v>
      </x:c>
      <x:c r="D55" s="165" t="str">
        <x:v>Blend</x:v>
      </x:c>
      <x:c r="E55" s="165" t="str">
        <x:v>Live Resin</x:v>
      </x:c>
      <x:c r="F55" s="165" t="str">
        <x:v>Holistic</x:v>
      </x:c>
      <x:c r="G55" s="165" t="str">
        <x:v>Relax</x:v>
      </x:c>
      <x:c r="H55" s="165" t="str">
        <x:v>CBD:CBN</x:v>
      </x:c>
      <x:c r="I55" s="165" t="str">
        <x:v>1:5</x:v>
      </x:c>
      <x:c r="J55" s="179" t="n">
        <x:v>0</x:v>
      </x:c>
      <x:c r="K55" s="179" t="n">
        <x:f>J55*R55</x:f>
        <x:v>0</x:v>
      </x:c>
      <x:c r="L55" s="179" t="n">
        <x:v>2</x:v>
      </x:c>
      <x:c r="M55" s="179" t="n">
        <x:f>L55*R55</x:f>
        <x:v>20</x:v>
      </x:c>
      <x:c r="N55" s="179" t="n">
        <x:v>10</x:v>
      </x:c>
      <x:c r="O55" s="180" t="n">
        <x:f>N55*R55</x:f>
        <x:v>100</x:v>
      </x:c>
      <x:c r="P55" s="179" t="n">
        <x:v>0</x:v>
      </x:c>
      <x:c r="Q55" s="180" t="n">
        <x:f>P55*R55</x:f>
        <x:v>0</x:v>
      </x:c>
      <x:c r="R55" s="180" t="n">
        <x:v>10</x:v>
      </x:c>
      <x:c r="S55" s="169" t="str">
        <x:v>1 bite</x:v>
      </x:c>
      <x:c r="T55" s="170" t="str">
        <x:v>Lemon</x:v>
      </x:c>
      <x:c r="U55" s="141" t="str">
        <x:v>Lemon keeps this cookie bite bright and lightly tart, built around a CBD-and-CBN blend with live resin underneath the baked flavor.</x:v>
      </x:c>
      <x:c r="V55" s="183" t="n">
        <x:v>34</x:v>
      </x:c>
      <x:c r="W55" s="166" t="str">
        <x:v>Representative WA brand pricing; exact baked goods / live resin SKU may be a catalog mock extension</x:v>
      </x:c>
      <x:c r="X55" s="168" t="str">
        <x:v>https://www.washingtonweedstores.com/brands/doozies</x:v>
      </x:c>
      <x:c r="Y55" s="166" t="str">
        <x:v>Weight</x:v>
      </x:c>
      <x:c r="Z55" s="168" t="n">
        <x:f>IF(AB55="","",ROUNDDOWN(AB55/28.349523125,2))</x:f>
        <x:v>3.52</x:v>
      </x:c>
      <x:c r="AA55" s="165" t="str">
        <x:v>oz</x:v>
      </x:c>
      <x:c r="AB55" s="169" t="n">
        <x:v>100</x:v>
      </x:c>
      <x:c r="AC55" s="165" t="str">
        <x:v>g</x:v>
      </x:c>
      <x:c r="AD55" s="170" t="n">
        <x:f>IF(AND(ISNUMBER(AB55),ISNUMBER(R55),R55&gt;0),AB55/R55,"")</x:f>
        <x:v>10</x:v>
      </x:c>
      <x:c r="AE55" s="166" t="str">
        <x:v>Estimated — exact baked SKU not found; aligned to comparable 10-serving WA confection package</x:v>
      </x:c>
      <x:c r="AF55" s="166" t="str">
        <x:v>https://www.topshelfdata.com/wa/bothell/herbal-nation/leaf_product_purchases?business=Harmony+Farms&amp;from=2024-02-01</x:v>
      </x:c>
    </x:row>
    <x:row r="56">
      <x:c r="A56" s="165" t="str">
        <x:v>Journeyman</x:v>
      </x:c>
      <x:c r="B56" s="165" t="str">
        <x:v>Tangerine Softgels</x:v>
      </x:c>
      <x:c r="C56" s="165" t="str">
        <x:v>Capsules</x:v>
      </x:c>
      <x:c r="D56" s="165" t="str">
        <x:v>Blend</x:v>
      </x:c>
      <x:c r="E56" s="165" t="str">
        <x:v>Rosin</x:v>
      </x:c>
      <x:c r="F56" s="165" t="str">
        <x:v>Holistic</x:v>
      </x:c>
      <x:c r="G56" s="165" t="str">
        <x:v>Happy</x:v>
      </x:c>
      <x:c r="H56" s="165" t="str">
        <x:v>THC:CBD:CBG</x:v>
      </x:c>
      <x:c r="I56" s="165" t="str">
        <x:v>1:1:1</x:v>
      </x:c>
      <x:c r="J56" s="179" t="n">
        <x:v>10</x:v>
      </x:c>
      <x:c r="K56" s="179" t="n">
        <x:f>J56*R56</x:f>
        <x:v>100</x:v>
      </x:c>
      <x:c r="L56" s="179" t="n">
        <x:v>10</x:v>
      </x:c>
      <x:c r="M56" s="179" t="n">
        <x:f>L56*R56</x:f>
        <x:v>100</x:v>
      </x:c>
      <x:c r="N56" s="179" t="n">
        <x:v>0</x:v>
      </x:c>
      <x:c r="O56" s="180" t="n">
        <x:f>N56*R56</x:f>
        <x:v>0</x:v>
      </x:c>
      <x:c r="P56" s="179" t="n">
        <x:v>10</x:v>
      </x:c>
      <x:c r="Q56" s="180" t="n">
        <x:f>P56*R56</x:f>
        <x:v>100</x:v>
      </x:c>
      <x:c r="R56" s="180" t="n">
        <x:v>10</x:v>
      </x:c>
      <x:c r="S56" s="169" t="str">
        <x:v>1 capsule</x:v>
      </x:c>
      <x:c r="T56" s="170" t="str">
        <x:v>Tangerine</x:v>
      </x:c>
      <x:c r="U56" s="141" t="str">
        <x:v>An unflavored rosin softgel combining THC, CBD, and CBG in equal proportions, keeping the presentation compact despite the broader blend.</x:v>
      </x:c>
      <x:c r="V56" s="183" t="n">
        <x:v>32</x:v>
      </x:c>
      <x:c r="W56" s="166" t="str">
        <x:v>Representative WA brand pricing; exact capsules / rosin SKU may be a catalog mock extension</x:v>
      </x:c>
      <x:c r="X56" s="168" t="str">
        <x:v>https://www.washingtonweedstores.com/brands/Journeyman</x:v>
      </x:c>
      <x:c r="Y56" s="166" t="str">
        <x:v>Weight</x:v>
      </x:c>
      <x:c r="Z56" s="168" t="n">
        <x:f>IF(AB56="","",ROUNDDOWN(AB56/28.349523125,2))</x:f>
        <x:v>0.35</x:v>
      </x:c>
      <x:c r="AA56" s="165" t="str">
        <x:v>oz</x:v>
      </x:c>
      <x:c r="AB56" s="169" t="n">
        <x:v>10</x:v>
      </x:c>
      <x:c r="AC56" s="165" t="str">
        <x:v>g</x:v>
      </x:c>
      <x:c r="AD56" s="170" t="n">
        <x:f>IF(AND(ISNUMBER(AB56),ISNUMBER(R56),R56&gt;0),AB56/R56,"")</x:f>
        <x:v>1</x:v>
      </x:c>
      <x:c r="AE56" s="166" t="str">
        <x:v>Estimated — synthetic 10-count capsule package</x:v>
      </x:c>
      <x:c r="AF56" s="166" t="str">
        <x:v>https://www.topshelfdata.com/wa/shelton/sashas-cannabis/leaf_product_purchases?business=Fairwinds+Manufacturing&amp;from=2024-05-01</x:v>
      </x:c>
    </x:row>
    <x:row r="57">
      <x:c r="A57" s="165" t="str">
        <x:v>Journeyman</x:v>
      </x:c>
      <x:c r="B57" s="165" t="str">
        <x:v>Peach Softgels</x:v>
      </x:c>
      <x:c r="C57" s="165" t="str">
        <x:v>Capsules</x:v>
      </x:c>
      <x:c r="D57" s="165" t="str">
        <x:v>Blend</x:v>
      </x:c>
      <x:c r="E57" s="165" t="str">
        <x:v>Distillate</x:v>
      </x:c>
      <x:c r="F57" s="165" t="str">
        <x:v>Holistic</x:v>
      </x:c>
      <x:c r="G57" s="165" t="str">
        <x:v>Focus</x:v>
      </x:c>
      <x:c r="H57" s="165" t="str">
        <x:v>CBD:CBG</x:v>
      </x:c>
      <x:c r="I57" s="165" t="str">
        <x:v>10:1</x:v>
      </x:c>
      <x:c r="J57" s="179" t="n">
        <x:v>0</x:v>
      </x:c>
      <x:c r="K57" s="179" t="n">
        <x:f>J57*R57</x:f>
        <x:v>0</x:v>
      </x:c>
      <x:c r="L57" s="179" t="n">
        <x:v>10</x:v>
      </x:c>
      <x:c r="M57" s="179" t="n">
        <x:f>L57*R57</x:f>
        <x:v>100</x:v>
      </x:c>
      <x:c r="N57" s="179" t="n">
        <x:v>0</x:v>
      </x:c>
      <x:c r="O57" s="180" t="n">
        <x:f>N57*R57</x:f>
        <x:v>0</x:v>
      </x:c>
      <x:c r="P57" s="179" t="n">
        <x:v>1</x:v>
      </x:c>
      <x:c r="Q57" s="180" t="n">
        <x:f>P57*R57</x:f>
        <x:v>10</x:v>
      </x:c>
      <x:c r="R57" s="180" t="n">
        <x:v>10</x:v>
      </x:c>
      <x:c r="S57" s="169" t="str">
        <x:v>1 capsule</x:v>
      </x:c>
      <x:c r="T57" s="170" t="str">
        <x:v>Peach</x:v>
      </x:c>
      <x:c r="U57" s="141" t="str">
        <x:v>A clean distillate softgel with a CBD-forward CBD:CBG formula, designed as a neutral alternative to flavored gummies or candy.</x:v>
      </x:c>
      <x:c r="V57" s="183" t="n">
        <x:v>30</x:v>
      </x:c>
      <x:c r="W57" s="166" t="str">
        <x:v>Representative WA brand pricing; exact capsules / distillate SKU may be a catalog mock extension</x:v>
      </x:c>
      <x:c r="X57" s="168" t="str">
        <x:v>https://www.washingtonweedstores.com/brands/Journeyman</x:v>
      </x:c>
      <x:c r="Y57" s="166" t="str">
        <x:v>Weight</x:v>
      </x:c>
      <x:c r="Z57" s="168" t="n">
        <x:f>IF(AB57="","",ROUNDDOWN(AB57/28.349523125,2))</x:f>
        <x:v>0.35</x:v>
      </x:c>
      <x:c r="AA57" s="165" t="str">
        <x:v>oz</x:v>
      </x:c>
      <x:c r="AB57" s="169" t="n">
        <x:v>10</x:v>
      </x:c>
      <x:c r="AC57" s="165" t="str">
        <x:v>g</x:v>
      </x:c>
      <x:c r="AD57" s="170" t="n">
        <x:f>IF(AND(ISNUMBER(AB57),ISNUMBER(R57),R57&gt;0),AB57/R57,"")</x:f>
        <x:v>1</x:v>
      </x:c>
      <x:c r="AE57" s="166" t="str">
        <x:v>Estimated — synthetic 10-count capsule package</x:v>
      </x:c>
      <x:c r="AF57" s="166" t="str">
        <x:v>https://www.topshelfdata.com/wa/shelton/sashas-cannabis/leaf_product_purchases?business=Fairwinds+Manufacturing&amp;from=2024-05-01</x:v>
      </x:c>
    </x:row>
    <x:row r="58">
      <x:c r="A58" s="165" t="str">
        <x:v>Marmas</x:v>
      </x:c>
      <x:c r="B58" s="165" t="str">
        <x:v>Pineapple Gummies</x:v>
      </x:c>
      <x:c r="C58" s="165" t="str">
        <x:v>Gummies</x:v>
      </x:c>
      <x:c r="D58" s="165" t="str">
        <x:v>Blend</x:v>
      </x:c>
      <x:c r="E58" s="165" t="str">
        <x:v>Live Resin</x:v>
      </x:c>
      <x:c r="F58" s="165" t="str">
        <x:v>Holistic</x:v>
      </x:c>
      <x:c r="G58" s="165" t="str">
        <x:v>Focus</x:v>
      </x:c>
      <x:c r="H58" s="165" t="str">
        <x:v>CBD:CBG</x:v>
      </x:c>
      <x:c r="I58" s="165" t="str">
        <x:v>1:10</x:v>
      </x:c>
      <x:c r="J58" s="179" t="n">
        <x:v>0</x:v>
      </x:c>
      <x:c r="K58" s="179" t="n">
        <x:f>J58*R58</x:f>
        <x:v>0</x:v>
      </x:c>
      <x:c r="L58" s="179" t="n">
        <x:v>1</x:v>
      </x:c>
      <x:c r="M58" s="179" t="n">
        <x:f>L58*R58</x:f>
        <x:v>10</x:v>
      </x:c>
      <x:c r="N58" s="179" t="n">
        <x:v>0</x:v>
      </x:c>
      <x:c r="O58" s="180" t="n">
        <x:f>N58*R58</x:f>
        <x:v>0</x:v>
      </x:c>
      <x:c r="P58" s="179" t="n">
        <x:v>10</x:v>
      </x:c>
      <x:c r="Q58" s="180" t="n">
        <x:f>P58*R58</x:f>
        <x:v>100</x:v>
      </x:c>
      <x:c r="R58" s="180" t="n">
        <x:v>10</x:v>
      </x:c>
      <x:c r="S58" s="169" t="str">
        <x:v>1 gummy</x:v>
      </x:c>
      <x:c r="T58" s="170" t="str">
        <x:v>Pineapple</x:v>
      </x:c>
      <x:c r="U58" s="141" t="str">
        <x:v>Pineapple keeps this gummy tropical and bright, while the CBD:CBG blend leans heavily toward CBG beneath the live resin infusion.</x:v>
      </x:c>
      <x:c r="V58" s="183" t="n">
        <x:v>25</x:v>
      </x:c>
      <x:c r="W58" s="166" t="str">
        <x:v>Official Marmas edible price anchor; exact gummies / live resin SKU may be a catalog mock extension</x:v>
      </x:c>
      <x:c r="X58" s="168" t="str">
        <x:v>https://marmasofficial.com/</x:v>
      </x:c>
      <x:c r="Y58" s="166" t="str">
        <x:v>Weight</x:v>
      </x:c>
      <x:c r="Z58" s="168" t="n">
        <x:f>IF(AB58="","",ROUNDDOWN(AB58/28.349523125,2))</x:f>
        <x:v>1.76</x:v>
      </x:c>
      <x:c r="AA58" s="165" t="str">
        <x:v>oz</x:v>
      </x:c>
      <x:c r="AB58" s="169" t="n">
        <x:v>50</x:v>
      </x:c>
      <x:c r="AC58" s="165" t="str">
        <x:v>g</x:v>
      </x:c>
      <x:c r="AD58" s="170" t="n">
        <x:f>IF(AND(ISNUMBER(AB58),ISNUMBER(R58),R58&gt;0),AB58/R58,"")</x:f>
        <x:v>5</x:v>
      </x:c>
      <x:c r="AE58" s="166" t="str">
        <x:v>Researched — Marmas 10-pack examples in WA traceability data</x:v>
      </x:c>
      <x:c r="AF58" s="166" t="str">
        <x:v>https://www.topshelfdata.com/wa/tacoma/diamond-green/leaf_product_purchases?business=Mt+Baker+Homegrown&amp;from=2024-07-01</x:v>
      </x:c>
    </x:row>
    <x:row r="59">
      <x:c r="A59" s="165" t="str">
        <x:v>Pioneer Squares</x:v>
      </x:c>
      <x:c r="B59" s="165" t="str">
        <x:v>Strawberry Chocolate Squares</x:v>
      </x:c>
      <x:c r="C59" s="165" t="str">
        <x:v>Chocolate</x:v>
      </x:c>
      <x:c r="D59" s="165" t="str">
        <x:v>Blend</x:v>
      </x:c>
      <x:c r="E59" s="165" t="str">
        <x:v>Rosin</x:v>
      </x:c>
      <x:c r="F59" s="165" t="str">
        <x:v>Indica Hybrid</x:v>
      </x:c>
      <x:c r="G59" s="165" t="str">
        <x:v>Unwind</x:v>
      </x:c>
      <x:c r="H59" s="165" t="str">
        <x:v>THC:CBD</x:v>
      </x:c>
      <x:c r="I59" s="165" t="str">
        <x:v>2:1</x:v>
      </x:c>
      <x:c r="J59" s="179" t="n">
        <x:v>10</x:v>
      </x:c>
      <x:c r="K59" s="179" t="n">
        <x:f>J59*R59</x:f>
        <x:v>100</x:v>
      </x:c>
      <x:c r="L59" s="179" t="n">
        <x:v>5</x:v>
      </x:c>
      <x:c r="M59" s="179" t="n">
        <x:f>L59*R59</x:f>
        <x:v>50</x:v>
      </x:c>
      <x:c r="N59" s="179" t="n">
        <x:v>0</x:v>
      </x:c>
      <x:c r="O59" s="180" t="n">
        <x:f>N59*R59</x:f>
        <x:v>0</x:v>
      </x:c>
      <x:c r="P59" s="179" t="n">
        <x:v>0</x:v>
      </x:c>
      <x:c r="Q59" s="180" t="n">
        <x:f>P59*R59</x:f>
        <x:v>0</x:v>
      </x:c>
      <x:c r="R59" s="180" t="n">
        <x:v>10</x:v>
      </x:c>
      <x:c r="S59" s="169" t="str">
        <x:v>1 chocolate piece</x:v>
      </x:c>
      <x:c r="T59" s="170" t="str">
        <x:v>Strawberry</x:v>
      </x:c>
      <x:c r="U59" s="141" t="str">
        <x:v>Strawberry adds a fresh fruit note to rich chocolate, with a 2:1 THC:CBD rosin blend giving the square a clearly THC-forward profile.</x:v>
      </x:c>
      <x:c r="V59" s="183" t="n">
        <x:v>32</x:v>
      </x:c>
      <x:c r="W59" s="166" t="str">
        <x:v>Current WA 100mg 10-pack retail anchor; exact chocolate / rosin SKU may be a catalog mock extension</x:v>
      </x:c>
      <x:c r="X59" s="168" t="str">
        <x:v>https://weedmaps.com/dispensaries/destination-hwy-420/menu/pioneer-squares-fruit-chews-lemon-mandarin-3-5oz</x:v>
      </x:c>
      <x:c r="Y59" s="166" t="str">
        <x:v>Weight</x:v>
      </x:c>
      <x:c r="Z59" s="168" t="n">
        <x:f>IF(AB59="","",ROUNDDOWN(AB59/28.349523125,2))</x:f>
        <x:v>3.49</x:v>
      </x:c>
      <x:c r="AA59" s="165" t="str">
        <x:v>oz</x:v>
      </x:c>
      <x:c r="AB59" s="169" t="n">
        <x:v>99.2</x:v>
      </x:c>
      <x:c r="AC59" s="165" t="str">
        <x:v>g</x:v>
      </x:c>
      <x:c r="AD59" s="170" t="n">
        <x:f>IF(AND(ISNUMBER(AB59),ISNUMBER(R59),R59&gt;0),AB59/R59,"")</x:f>
        <x:v>9.92</x:v>
      </x:c>
      <x:c r="AE59" s="166" t="str">
        <x:v>Researched — Pioneer Squares 10-pack WA traceability example</x:v>
      </x:c>
      <x:c r="AF59" s="166" t="str">
        <x:v>https://www.topshelfdata.com/wa/tacoma/the-gallery-parkland/leaf_product_purchases?business=Stryps&amp;from=2024-04-01</x:v>
      </x:c>
    </x:row>
    <x:row r="60">
      <x:c r="A60" s="165" t="str">
        <x:v>Swifts</x:v>
      </x:c>
      <x:c r="B60" s="165" t="str">
        <x:v>Watermelon Fruit Drops</x:v>
      </x:c>
      <x:c r="C60" s="165" t="str">
        <x:v>Hard Candy</x:v>
      </x:c>
      <x:c r="D60" s="165" t="str">
        <x:v>Blend</x:v>
      </x:c>
      <x:c r="E60" s="165" t="str">
        <x:v>Live Rosin</x:v>
      </x:c>
      <x:c r="F60" s="165" t="str">
        <x:v>Indica</x:v>
      </x:c>
      <x:c r="G60" s="165" t="str">
        <x:v>Sleep</x:v>
      </x:c>
      <x:c r="H60" s="165" t="str">
        <x:v>THC:CBN</x:v>
      </x:c>
      <x:c r="I60" s="165" t="str">
        <x:v>5:1</x:v>
      </x:c>
      <x:c r="J60" s="179" t="n">
        <x:v>10</x:v>
      </x:c>
      <x:c r="K60" s="179" t="n">
        <x:f>J60*R60</x:f>
        <x:v>100</x:v>
      </x:c>
      <x:c r="L60" s="179" t="n">
        <x:v>0</x:v>
      </x:c>
      <x:c r="M60" s="179" t="n">
        <x:f>L60*R60</x:f>
        <x:v>0</x:v>
      </x:c>
      <x:c r="N60" s="179" t="n">
        <x:v>2</x:v>
      </x:c>
      <x:c r="O60" s="180" t="n">
        <x:f>N60*R60</x:f>
        <x:v>20</x:v>
      </x:c>
      <x:c r="P60" s="179" t="n">
        <x:v>0</x:v>
      </x:c>
      <x:c r="Q60" s="180" t="n">
        <x:f>P60*R60</x:f>
        <x:v>0</x:v>
      </x:c>
      <x:c r="R60" s="180" t="n">
        <x:v>10</x:v>
      </x:c>
      <x:c r="S60" s="169" t="str">
        <x:v>1 candy</x:v>
      </x:c>
      <x:c r="T60" s="170" t="str">
        <x:v>Watermelon</x:v>
      </x:c>
      <x:c r="U60" s="141" t="str">
        <x:v>Watermelon brings a familiar candy sweetness to this live rosin drop, paired with a 5:1 THC:CBN blend and slow-dissolving texture.</x:v>
      </x:c>
      <x:c r="V60" s="183" t="n">
        <x:v>30</x:v>
      </x:c>
      <x:c r="W60" s="166" t="str">
        <x:v>Representative WA brand pricing; exact hard candy / live rosin SKU may be a catalog mock extension</x:v>
      </x:c>
      <x:c r="X60" s="168" t="str">
        <x:v>https://www.washingtonweedstores.com/brands/Swifts</x:v>
      </x:c>
      <x:c r="Y60" s="166" t="str">
        <x:v>Weight</x:v>
      </x:c>
      <x:c r="Z60" s="168" t="n">
        <x:f>IF(AB60="","",ROUNDDOWN(AB60/28.349523125,2))</x:f>
        <x:v>1.41</x:v>
      </x:c>
      <x:c r="AA60" s="165" t="str">
        <x:v>oz</x:v>
      </x:c>
      <x:c r="AB60" s="169" t="n">
        <x:v>40</x:v>
      </x:c>
      <x:c r="AC60" s="165" t="str">
        <x:v>g</x:v>
      </x:c>
      <x:c r="AD60" s="170" t="n">
        <x:f>IF(AND(ISNUMBER(AB60),ISNUMBER(R60),R60&gt;0),AB60/R60,"")</x:f>
        <x:v>4</x:v>
      </x:c>
      <x:c r="AE60" s="166" t="str">
        <x:v>Estimated — synthetic SKU; comparable 10-piece hard-candy package</x:v>
      </x:c>
      <x:c r="AF60" s="166" t="str">
        <x:v>https://www.washingtonweedstores.com/brands/Swifts</x:v>
      </x:c>
    </x:row>
    <x:row r="61">
      <x:c r="A61" s="165" t="str">
        <x:v>Verdelux</x:v>
      </x:c>
      <x:c r="B61" s="165" t="str">
        <x:v>Blood Orange Cookie Bites</x:v>
      </x:c>
      <x:c r="C61" s="165" t="str">
        <x:v>Baked Goods</x:v>
      </x:c>
      <x:c r="D61" s="165" t="str">
        <x:v>Blend</x:v>
      </x:c>
      <x:c r="E61" s="165" t="str">
        <x:v>Distillate</x:v>
      </x:c>
      <x:c r="F61" s="165" t="str">
        <x:v>Sativa Hybrid</x:v>
      </x:c>
      <x:c r="G61" s="165" t="str">
        <x:v>Giggly</x:v>
      </x:c>
      <x:c r="H61" s="165" t="str">
        <x:v>THC:CBG</x:v>
      </x:c>
      <x:c r="I61" s="165" t="str">
        <x:v>10:1</x:v>
      </x:c>
      <x:c r="J61" s="179" t="n">
        <x:v>10</x:v>
      </x:c>
      <x:c r="K61" s="179" t="n">
        <x:f>J61*R61</x:f>
        <x:v>100</x:v>
      </x:c>
      <x:c r="L61" s="179" t="n">
        <x:v>0</x:v>
      </x:c>
      <x:c r="M61" s="179" t="n">
        <x:f>L61*R61</x:f>
        <x:v>0</x:v>
      </x:c>
      <x:c r="N61" s="179" t="n">
        <x:v>0</x:v>
      </x:c>
      <x:c r="O61" s="180" t="n">
        <x:f>N61*R61</x:f>
        <x:v>0</x:v>
      </x:c>
      <x:c r="P61" s="179" t="n">
        <x:v>1</x:v>
      </x:c>
      <x:c r="Q61" s="180" t="n">
        <x:f>P61*R61</x:f>
        <x:v>10</x:v>
      </x:c>
      <x:c r="R61" s="180" t="n">
        <x:v>10</x:v>
      </x:c>
      <x:c r="S61" s="169" t="str">
        <x:v>1 bite</x:v>
      </x:c>
      <x:c r="T61" s="170" t="str">
        <x:v>Blood Orange</x:v>
      </x:c>
      <x:c r="U61" s="141" t="str">
        <x:v>Blood orange sharpens the soft cookie bite with citrus, while a THC-forward THC:CBG distillate blend keeps the formula distinct from standard baked goods.</x:v>
      </x:c>
      <x:c r="V61" s="183" t="n">
        <x:v>20</x:v>
      </x:c>
      <x:c r="W61" s="166" t="str">
        <x:v>Current WA BON BOMBS average-price anchor; exact baked goods / distillate SKU may be a catalog mock extension</x:v>
      </x:c>
      <x:c r="X61" s="168" t="str">
        <x:v>https://www.headset.io/brands/bon-bombs</x:v>
      </x:c>
      <x:c r="Y61" s="166" t="str">
        <x:v>Weight</x:v>
      </x:c>
      <x:c r="Z61" s="168" t="n">
        <x:f>IF(AB61="","",ROUNDDOWN(AB61/28.349523125,2))</x:f>
        <x:v>3.52</x:v>
      </x:c>
      <x:c r="AA61" s="165" t="str">
        <x:v>oz</x:v>
      </x:c>
      <x:c r="AB61" s="169" t="n">
        <x:v>100</x:v>
      </x:c>
      <x:c r="AC61" s="165" t="str">
        <x:v>g</x:v>
      </x:c>
      <x:c r="AD61" s="170" t="n">
        <x:f>IF(AND(ISNUMBER(AB61),ISNUMBER(R61),R61&gt;0),AB61/R61,"")</x:f>
        <x:v>10</x:v>
      </x:c>
      <x:c r="AE61" s="166" t="str">
        <x:v>Estimated — synthetic cookie-bite SKU; comparable WA confection weight</x:v>
      </x:c>
      <x:c r="AF61" s="166" t="str">
        <x:v>https://www.topshelfdata.com/wa/clarkston/greenfield-company-cannabis-mercantile/leaf_product_purchases?business=&amp;from=2023-03-01</x:v>
      </x:c>
    </x:row>
    <x:row r="62">
      <x:c r="A62" s="165" t="str">
        <x:v>Wyld</x:v>
      </x:c>
      <x:c r="B62" s="165" t="str">
        <x:v>Cherry Lime Softgels</x:v>
      </x:c>
      <x:c r="C62" s="165" t="str">
        <x:v>Capsules</x:v>
      </x:c>
      <x:c r="D62" s="165" t="str">
        <x:v>Blend</x:v>
      </x:c>
      <x:c r="E62" s="165" t="str">
        <x:v>Live Resin</x:v>
      </x:c>
      <x:c r="F62" s="165" t="str">
        <x:v>Holistic</x:v>
      </x:c>
      <x:c r="G62" s="165" t="str">
        <x:v>Calm</x:v>
      </x:c>
      <x:c r="H62" s="165" t="str">
        <x:v>THC:CBD</x:v>
      </x:c>
      <x:c r="I62" s="165" t="str">
        <x:v>1:2</x:v>
      </x:c>
      <x:c r="J62" s="179" t="n">
        <x:v>5</x:v>
      </x:c>
      <x:c r="K62" s="179" t="n">
        <x:f>J62*R62</x:f>
        <x:v>50</x:v>
      </x:c>
      <x:c r="L62" s="179" t="n">
        <x:v>10</x:v>
      </x:c>
      <x:c r="M62" s="179" t="n">
        <x:f>L62*R62</x:f>
        <x:v>100</x:v>
      </x:c>
      <x:c r="N62" s="179" t="n">
        <x:v>0</x:v>
      </x:c>
      <x:c r="O62" s="180" t="n">
        <x:f>N62*R62</x:f>
        <x:v>0</x:v>
      </x:c>
      <x:c r="P62" s="179" t="n">
        <x:v>0</x:v>
      </x:c>
      <x:c r="Q62" s="180" t="n">
        <x:f>P62*R62</x:f>
        <x:v>0</x:v>
      </x:c>
      <x:c r="R62" s="180" t="n">
        <x:v>10</x:v>
      </x:c>
      <x:c r="S62" s="169" t="str">
        <x:v>1 capsule</x:v>
      </x:c>
      <x:c r="T62" s="170" t="str">
        <x:v>Cherry Lime</x:v>
      </x:c>
      <x:c r="U62" s="141" t="str">
        <x:v>An unflavored live resin softgel with a CBD-forward 1:2 THC:CBD blend, keeping the product discreet while the cannabinoid balance does the differentiation.</x:v>
      </x:c>
      <x:c r="V62" s="183" t="n">
        <x:v>28</x:v>
      </x:c>
      <x:c r="W62" s="166" t="str">
        <x:v>Representative WA brand pricing; exact capsules / live resin SKU may be a catalog mock extension</x:v>
      </x:c>
      <x:c r="X62" s="168" t="str">
        <x:v>https://www.washingtonweedstores.com/brands/WYLD</x:v>
      </x:c>
      <x:c r="Y62" s="166" t="str">
        <x:v>Weight</x:v>
      </x:c>
      <x:c r="Z62" s="168" t="n">
        <x:f>IF(AB62="","",ROUNDDOWN(AB62/28.349523125,2))</x:f>
        <x:v>0.35</x:v>
      </x:c>
      <x:c r="AA62" s="165" t="str">
        <x:v>oz</x:v>
      </x:c>
      <x:c r="AB62" s="169" t="n">
        <x:v>10</x:v>
      </x:c>
      <x:c r="AC62" s="165" t="str">
        <x:v>g</x:v>
      </x:c>
      <x:c r="AD62" s="170" t="n">
        <x:f>IF(AND(ISNUMBER(AB62),ISNUMBER(R62),R62&gt;0),AB62/R62,"")</x:f>
        <x:v>1</x:v>
      </x:c>
      <x:c r="AE62" s="166" t="str">
        <x:v>Estimated — synthetic 10-count capsule package</x:v>
      </x:c>
      <x:c r="AF62" s="166" t="str">
        <x:v>https://www.topshelfdata.com/wa/shelton/sashas-cannabis/leaf_product_purchases?business=Fairwinds+Manufacturing&amp;from=2024-05-01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42" hidden="0" customWidth="1"/>
    <x:col min="4" max="4" width="60" hidden="0" customWidth="1"/>
    <x:col min="5" max="5" width="14" hidden="0" customWidth="1"/>
    <x:col min="6" max="6" width="70" hidden="0" customWidth="1"/>
  </x:cols>
  <x:sheetData>
    <x:row r="1">
      <x:c r="A1" s="90" t="str">
        <x:v>Brand</x:v>
      </x:c>
      <x:c r="B1" s="90" t="str">
        <x:v>Observed WA Price Anchor</x:v>
      </x:c>
      <x:c r="C1" s="90" t="str">
        <x:v>Catalog Pricing Rule</x:v>
      </x:c>
      <x:c r="D1" s="90" t="str">
        <x:v>Primary Source</x:v>
      </x:c>
      <x:c r="E1" s="90" t="str">
        <x:v>Checked</x:v>
      </x:c>
      <x:c r="F1" s="90" t="str">
        <x:v>Important Note</x:v>
      </x:c>
    </x:row>
    <x:row r="2">
      <x:c r="A2" s="53" t="str">
        <x:v>Ceres</x:v>
      </x:c>
      <x:c r="B2" s="53" t="str">
        <x:v>$20–$23 for current 100mg 10-packs</x:v>
      </x:c>
      <x:c r="C2" s="53" t="str">
        <x:v>$20 standard; ~$23 premium/mock rosin or blend</x:v>
      </x:c>
      <x:c r="D2" s="53" t="str">
        <x:v>https://greenrush.io/brands/ceres-garden/</x:v>
      </x:c>
      <x:c r="E2" s="53" t="str">
        <x:v>2026-09-22</x:v>
      </x:c>
      <x:c r="F2" s="53" t="str">
        <x:v>Ceres exact flavors/extractions in this UX catalog are not all live SKUs.</x:v>
      </x:c>
    </x:row>
    <x:row r="3">
      <x:c r="A3" s="53" t="str">
        <x:v>Constellation</x:v>
      </x:c>
      <x:c r="B3" s="53" t="str">
        <x:v>$8.80–$15 Moonshots; $19.50–$26 hash-rosin gummies</x:v>
      </x:c>
      <x:c r="C3" s="53" t="str">
        <x:v>$20 live-resin-style; $24 live rosin; $23–$26 blends</x:v>
      </x:c>
      <x:c r="D3" s="53" t="str">
        <x:v>https://greenrush.io/brands/constellation-cannabis/</x:v>
      </x:c>
      <x:c r="E3" s="53" t="str">
        <x:v>2026-09-22</x:v>
      </x:c>
      <x:c r="F3" s="53" t="str">
        <x:v>Chocolate-square catalog SKUs are representative, not necessarily current Constellation products.</x:v>
      </x:c>
    </x:row>
    <x:row r="4">
      <x:c r="A4" s="53" t="str">
        <x:v>Good Tide</x:v>
      </x:c>
      <x:c r="B4" s="53" t="str">
        <x:v>$29–$33 common 100mg rosin gummies; blends often ~$35–$42</x:v>
      </x:c>
      <x:c r="C4" s="53" t="str">
        <x:v>$30 rosin THC/CBD; $35 blend; $25 synthetic distillate</x:v>
      </x:c>
      <x:c r="D4" s="53" t="str">
        <x:v>https://www.washingtonweedstores.com/brands/Good-Tide</x:v>
      </x:c>
      <x:c r="E4" s="53" t="str">
        <x:v>2026-09-22</x:v>
      </x:c>
      <x:c r="F4" s="53" t="str">
        <x:v>Good Tide is primarily solventless gummy-focused; hard-candy entries are mock extensions.</x:v>
      </x:c>
    </x:row>
    <x:row r="5">
      <x:c r="A5" s="53" t="str">
        <x:v>Green Revolution</x:v>
      </x:c>
      <x:c r="B5" s="53" t="str">
        <x:v>Doozies commonly ~$28–$30; DOH/minor-cannabinoid blends often ~$34–$42</x:v>
      </x:c>
      <x:c r="C5" s="53" t="str">
        <x:v>$28 standard/live-resin-style; $32 live rosin; $34–$40 blends</x:v>
      </x:c>
      <x:c r="D5" s="53" t="str">
        <x:v>https://www.washingtonweedstores.com/brands/doozies</x:v>
      </x:c>
      <x:c r="E5" s="53" t="str">
        <x:v>2026-09-22</x:v>
      </x:c>
      <x:c r="F5" s="53" t="str">
        <x:v>Cookie-bite entries are mock extensions; pricing uses current Doozies tier.</x:v>
      </x:c>
    </x:row>
    <x:row r="6">
      <x:c r="A6" s="53" t="str">
        <x:v>Journeyman</x:v>
      </x:c>
      <x:c r="B6" s="53" t="str">
        <x:v>100mg 10-packs ~$24–$30; hash-rosin jellies ~$30–$35; minor-cannabinoid 10-packs ~$30</x:v>
      </x:c>
      <x:c r="C6" s="53" t="str">
        <x:v>$25 regular; $32 rosin; $30–$32 CBD/blend</x:v>
      </x:c>
      <x:c r="D6" s="53" t="str">
        <x:v>https://www.washingtonweedstores.com/brands/Journeyman</x:v>
      </x:c>
      <x:c r="E6" s="53" t="str">
        <x:v>2026-09-22</x:v>
      </x:c>
      <x:c r="F6" s="53" t="str">
        <x:v>Capsule entries are mock extensions; pricing uses current Journeyman edible tiers.</x:v>
      </x:c>
    </x:row>
    <x:row r="7">
      <x:c r="A7" s="53" t="str">
        <x:v>Marmas</x:v>
      </x:c>
      <x:c r="B7" s="53" t="str">
        <x:v>$25 on current Marmas edible listings</x:v>
      </x:c>
      <x:c r="C7" s="53" t="str">
        <x:v>$25 across the catalog</x:v>
      </x:c>
      <x:c r="D7" s="53" t="str">
        <x:v>https://marmasofficial.com/</x:v>
      </x:c>
      <x:c r="E7" s="53" t="str">
        <x:v>2026-09-22</x:v>
      </x:c>
      <x:c r="F7" s="53" t="str">
        <x:v>Uses Marmas' own current listed edible price as the primary anchor.</x:v>
      </x:c>
    </x:row>
    <x:row r="8">
      <x:c r="A8" s="53" t="str">
        <x:v>Pioneer Squares</x:v>
      </x:c>
      <x:c r="B8" s="53" t="str">
        <x:v>$30 is common current retail for 100mg 10-packs</x:v>
      </x:c>
      <x:c r="C8" s="53" t="str">
        <x:v>$30 standard; ~$32–$33 premium/mock rosin/blend</x:v>
      </x:c>
      <x:c r="D8" s="53" t="str">
        <x:v>https://weedmaps.com/dispensaries/destination-hwy-420/menu/pioneer-squares-fruit-chews-lemon-mandarin-3-5oz</x:v>
      </x:c>
      <x:c r="E8" s="53" t="str">
        <x:v>2026-09-22</x:v>
      </x:c>
      <x:c r="F8" s="53" t="str">
        <x:v>Chocolate-square entries are mock extensions; actual Pioneer Squares are fruit-chew/gummy-style products.</x:v>
      </x:c>
    </x:row>
    <x:row r="9">
      <x:c r="A9" s="53" t="str">
        <x:v>Swifts</x:v>
      </x:c>
      <x:c r="B9" s="53" t="str">
        <x:v>$24 fruit drops; ~$30 rosin peanut-butter cups; live-resin items vary</x:v>
      </x:c>
      <x:c r="C9" s="53" t="str">
        <x:v>$24 live-resin/fruit-drop tier; $30 live rosin/blend</x:v>
      </x:c>
      <x:c r="D9" s="53" t="str">
        <x:v>https://www.washingtonweedstores.com/brands/Swifts</x:v>
      </x:c>
      <x:c r="E9" s="53" t="str">
        <x:v>2026-09-22</x:v>
      </x:c>
      <x:c r="F9" s="53" t="str">
        <x:v>Pricing follows current Swifts product tiers rather than invented flavor exact matches.</x:v>
      </x:c>
    </x:row>
    <x:row r="10">
      <x:c r="A10" s="53" t="str">
        <x:v>Verdelux</x:v>
      </x:c>
      <x:c r="B10" s="53" t="str">
        <x:v>BON BOMBS Aug-2026 average price $17.71</x:v>
      </x:c>
      <x:c r="C10" s="53" t="str">
        <x:v>$18 standard; ~$20 blend; ~$22 mock rosin</x:v>
      </x:c>
      <x:c r="D10" s="53" t="str">
        <x:v>https://www.headset.io/brands/bon-bombs</x:v>
      </x:c>
      <x:c r="E10" s="53" t="str">
        <x:v>2026-09-22</x:v>
      </x:c>
      <x:c r="F10" s="53" t="str">
        <x:v>Cookie-bite entries are mock extensions; Verdelux's real current line includes Bon Bombs and Meltaways.</x:v>
      </x:c>
    </x:row>
    <x:row r="11">
      <x:c r="A11" s="53" t="str">
        <x:v>Wyld</x:v>
      </x:c>
      <x:c r="B11" s="53" t="str">
        <x:v>Common WA 100mg products roughly $21–$30</x:v>
      </x:c>
      <x:c r="C11" s="53" t="str">
        <x:v>$24 standard/live-resin-style; $28 premium/blend; $27 CBD</x:v>
      </x:c>
      <x:c r="D11" s="53" t="str">
        <x:v>https://www.washingtonweedstores.com/brands/WYLD</x:v>
      </x:c>
      <x:c r="E11" s="53" t="str">
        <x:v>2026-09-22</x:v>
      </x:c>
      <x:c r="F11" s="53" t="str">
        <x:v>Capsule entries are mock extensions; price uses current Wyld edible band.</x:v>
      </x:c>
    </x:row>
    <x:row r="13">
      <x:c r="A13" s="53" t="str">
        <x:v>Data structure</x:v>
      </x:c>
      <x:c r="B13" s="53" t="str">
        <x:v>Edible catalog normalized to THC / CBD / Blend with explicit per-serving and total cannabinoid columns.</x:v>
      </x:c>
      <x:c r="C13" s="53"/>
      <x:c r="D13" s="53"/>
      <x:c r="E13" s="53"/>
      <x:c r="F13" s="53"/>
    </x:row>
    <x:row r="14">
      <x:c r="A14" s="53" t="str">
        <x:v>Cannabinoid totals</x:v>
      </x:c>
      <x:c r="B14" s="53" t="str">
        <x:v>THC/CBD/CBN/CBG totals are formula-driven as Serving mg × 10 servings.</x:v>
      </x:c>
      <x:c r="C14" s="53"/>
      <x:c r="D14" s="53"/>
      <x:c r="E14" s="53"/>
      <x:c r="F14" s="53"/>
    </x:row>
    <x:row r="15">
      <x:c r="A15" s="53" t="str">
        <x:v>Lifestyle rule</x:v>
      </x:c>
      <x:c r="B15" s="53" t="str">
        <x:v>THC-only and strictly THC-dominant blends use one of the five lifestyles; balanced or CBD/CBN/CBG-dominant products use Holistic.</x:v>
      </x:c>
      <x:c r="C15" s="53"/>
      <x:c r="D15" s="53"/>
      <x:c r="E15" s="53"/>
      <x:c r="F15" s="53"/>
    </x:row>
    <x:row r="16">
      <x:c r="A16" s="53" t="str">
        <x:v>CBD effect wording</x:v>
      </x:c>
      <x:c r="B16" s="53" t="str">
        <x:v>CBD-only effect label changed from Pain Relief to Comfort to avoid therapeutic-claim wording in shopper-facing IA.</x:v>
      </x:c>
      <x:c r="C16" s="53"/>
      <x:c r="D16" s="53"/>
      <x:c r="E16" s="53"/>
      <x:c r="F16" s="53"/>
    </x:row>
    <x:row r="17">
      <x:c r="A17" s="53" t="str">
        <x:v>Legacy fields removed</x:v>
      </x:c>
      <x:c r="B17" s="53" t="str">
        <x:v>Generic Other mg and Package cannabinoid fields were removed because they obscured cannabinoid identity and totals.</x:v>
      </x:c>
      <x:c r="C17" s="53"/>
      <x:c r="D17" s="53"/>
      <x:c r="E17" s="53"/>
      <x:c r="F17" s="53"/>
    </x:row>
  </x:sheetData>
  <x:pageMargins left="0.7" right="0.7" top="0.75" bottom="0.75" header="0.3" footer="0.3"/>
</x:worksheet>
</file>