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4aaf2d670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gration Guide" sheetId="1" r:id="Rd3860e703d004d13"/>
    <x:sheet xmlns:r="http://schemas.openxmlformats.org/officeDocument/2006/relationships" name="WA Regulatory Limits" sheetId="2" r:id="Rcc34e7ddeb15464e"/>
    <x:sheet xmlns:r="http://schemas.openxmlformats.org/officeDocument/2006/relationships" name="Label Requirements" sheetId="3" r:id="Rb06d9dd0611940dc"/>
    <x:sheet xmlns:r="http://schemas.openxmlformats.org/officeDocument/2006/relationships" name="Unit Conversions" sheetId="4" r:id="R64ad88bc98b34117"/>
    <x:sheet xmlns:r="http://schemas.openxmlformats.org/officeDocument/2006/relationships" name="Sources" sheetId="5" r:id="Rb8afff1fc74f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0.000"/>
    <x:numFmt numFmtId="202" formatCode="0.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0"/>
      <x:color rgb="FF555555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1601C"/>
      </x:patternFill>
    </x:fill>
    <x:fill>
      <x:patternFill patternType="solid">
        <x:fgColor rgb="FF333333"/>
      </x:patternFill>
    </x:fill>
    <x:fill>
      <x:patternFill patternType="solid">
        <x:fgColor rgb="FFFFF1E8"/>
      </x:patternFill>
    </x:fill>
    <x:fill>
      <x:patternFill patternType="solid">
        <x:fgColor rgb="FFFFF1E8"/>
      </x:patternFill>
    </x:fill>
    <x:fill>
      <x:patternFill patternType="solid">
        <x:fgColor rgb="FFF1601C"/>
      </x:patternFill>
    </x:fill>
    <x:fill>
      <x:patternFill patternType="solid">
        <x:fgColor rgb="FF333333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a8ac651364c8f" /><Relationship Type="http://schemas.openxmlformats.org/officeDocument/2006/relationships/theme" Target="/xl/theme/theme1.xml" Id="R318f8b9eb6134339" /><Relationship Type="http://schemas.openxmlformats.org/officeDocument/2006/relationships/sharedStrings" Target="/xl/sharedStrings.xml" Id="Rce30a3ede2f04055" /><Relationship Type="http://schemas.openxmlformats.org/officeDocument/2006/relationships/worksheet" Target="/xl/worksheets/sheet1.xml" Id="Rd3860e703d004d13" /><Relationship Type="http://schemas.openxmlformats.org/officeDocument/2006/relationships/worksheet" Target="/xl/worksheets/sheet2.xml" Id="Rcc34e7ddeb15464e" /><Relationship Type="http://schemas.openxmlformats.org/officeDocument/2006/relationships/worksheet" Target="/xl/worksheets/sheet3.xml" Id="Rb06d9dd0611940dc" /><Relationship Type="http://schemas.openxmlformats.org/officeDocument/2006/relationships/worksheet" Target="/xl/worksheets/sheet4.xml" Id="R64ad88bc98b34117" /><Relationship Type="http://schemas.openxmlformats.org/officeDocument/2006/relationships/worksheet" Target="/xl/worksheets/sheet5.xml" Id="Rb8afff1fc74f4f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1" hidden="0" customWidth="1"/>
    <x:col min="4" max="4" width="22" hidden="0" customWidth="1"/>
    <x:col min="5" max="5" width="25" hidden="0" customWidth="1"/>
    <x:col min="6" max="6" width="21" hidden="0" customWidth="1"/>
    <x:col min="7" max="7" width="21" hidden="0" customWidth="1"/>
    <x:col min="8" max="8" width="20" hidden="0" customWidth="1"/>
    <x:col min="9" max="9" width="20" hidden="0" customWidth="1"/>
    <x:col min="10" max="10" width="38" hidden="0" customWidth="1"/>
    <x:col min="11" max="11" width="42" hidden="0" customWidth="1"/>
  </x:cols>
  <x:sheetData>
    <x:row r="1" ht="28" customHeight="1">
      <x:c r="A1" s="5" t="str">
        <x:v>Washington Cannabis Net Quantity &amp; Dose Integration Guide — Full Catalog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8" customHeight="1">
      <x:c r="A2" s="13" t="str">
        <x:v>Reference for Origins product catalogs: flower, pre-rolls, concentrates, edibles, drinks, and topicals. Net quantity is physical product amount; cannabinoid mg/% is potency. Use licensed processor/POS label data as the authoritative SKU value.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34" customHeight="1"/>
    <x:row r="4" ht="32" customHeight="1">
      <x:c r="A4" s="22" t="str">
        <x:v>Catalog Category</x:v>
      </x:c>
      <x:c r="B4" s="22" t="str">
        <x:v>Product Form</x:v>
      </x:c>
      <x:c r="C4" s="22" t="str">
        <x:v>Regulatory Form</x:v>
      </x:c>
      <x:c r="D4" s="22" t="str">
        <x:v>Net Quantity Basis</x:v>
      </x:c>
      <x:c r="E4" s="22" t="str">
        <x:v>Recommended App Label</x:v>
      </x:c>
      <x:c r="F4" s="22" t="str">
        <x:v>Serving Amount Required on Label?</x:v>
      </x:c>
      <x:c r="G4" s="22" t="str">
        <x:v>Servings/Package Required?</x:v>
      </x:c>
      <x:c r="H4" s="22" t="str">
        <x:v>THC Serving Limit</x:v>
      </x:c>
      <x:c r="I4" s="22" t="str">
        <x:v>THC Package Limit</x:v>
      </x:c>
      <x:c r="J4" s="22" t="str">
        <x:v>Recommended Product-List Fields</x:v>
      </x:c>
      <x:c r="K4" s="22" t="str">
        <x:v>Implementation Note</x:v>
      </x:c>
    </x:row>
    <x:row r="5" ht="34" customHeight="1">
      <x:c r="A5" s="30" t="str">
        <x:v>Edibles</x:v>
      </x:c>
      <x:c r="B5" s="30" t="str">
        <x:v>Gummies</x:v>
      </x:c>
      <x:c r="C5" s="30" t="str">
        <x:v>Solid edible</x:v>
      </x:c>
      <x:c r="D5" s="32" t="str">
        <x:v>Weight</x:v>
      </x:c>
      <x:c r="E5" s="32" t="str">
        <x:v>Net Wt. [oz] ([g])</x:v>
      </x:c>
      <x:c r="F5" s="30" t="str">
        <x:v>Yes</x:v>
      </x:c>
      <x:c r="G5" s="30" t="str">
        <x:v>Yes</x:v>
      </x:c>
      <x:c r="H5" s="30" t="str">
        <x:v>≤10 mg active Δ9-THC</x:v>
      </x:c>
      <x:c r="I5" s="30" t="str">
        <x:v>≤100 mg active Δ9-THC</x:v>
      </x:c>
      <x:c r="J5" s="30" t="str">
        <x:v>Net Qty Imperial; Net Qty Metric; Serving Amount; Servings/Package; cannabinoid serving + total mg</x:v>
      </x:c>
      <x:c r="K5" s="30" t="str">
        <x:v>Do not use cannabinoid mg as product weight.</x:v>
      </x:c>
    </x:row>
    <x:row r="6" ht="34" customHeight="1">
      <x:c r="A6" s="30" t="str">
        <x:v>Edibles</x:v>
      </x:c>
      <x:c r="B6" s="30" t="str">
        <x:v>Chocolate</x:v>
      </x:c>
      <x:c r="C6" s="30" t="str">
        <x:v>Solid edible</x:v>
      </x:c>
      <x:c r="D6" s="32" t="str">
        <x:v>Weight</x:v>
      </x:c>
      <x:c r="E6" s="32" t="str">
        <x:v>Net Wt. [oz] ([g])</x:v>
      </x:c>
      <x:c r="F6" s="30" t="str">
        <x:v>Yes</x:v>
      </x:c>
      <x:c r="G6" s="30" t="str">
        <x:v>Yes</x:v>
      </x:c>
      <x:c r="H6" s="30" t="str">
        <x:v>≤10 mg active Δ9-THC</x:v>
      </x:c>
      <x:c r="I6" s="30" t="str">
        <x:v>≤100 mg active Δ9-THC</x:v>
      </x:c>
      <x:c r="J6" s="30" t="str">
        <x:v>Net Qty Imperial; Net Qty Metric; Serving Amount; Servings/Package; cannabinoid serving + total mg</x:v>
      </x:c>
      <x:c r="K6" s="30" t="str">
        <x:v>Physical net weight and cannabinoid totals are separate fields.</x:v>
      </x:c>
    </x:row>
    <x:row r="7" ht="34" customHeight="1">
      <x:c r="A7" s="30" t="str">
        <x:v>Edibles</x:v>
      </x:c>
      <x:c r="B7" s="30" t="str">
        <x:v>Hard Candy</x:v>
      </x:c>
      <x:c r="C7" s="30" t="str">
        <x:v>Solid edible</x:v>
      </x:c>
      <x:c r="D7" s="32" t="str">
        <x:v>Weight</x:v>
      </x:c>
      <x:c r="E7" s="32" t="str">
        <x:v>Net Wt. [oz] ([g])</x:v>
      </x:c>
      <x:c r="F7" s="30" t="str">
        <x:v>Yes</x:v>
      </x:c>
      <x:c r="G7" s="30" t="str">
        <x:v>Yes</x:v>
      </x:c>
      <x:c r="H7" s="30" t="str">
        <x:v>≤10 mg active Δ9-THC</x:v>
      </x:c>
      <x:c r="I7" s="30" t="str">
        <x:v>≤100 mg active Δ9-THC</x:v>
      </x:c>
      <x:c r="J7" s="30" t="str">
        <x:v>Net Qty Imperial; Net Qty Metric; Serving Amount; Servings/Package; cannabinoid serving + total mg</x:v>
      </x:c>
      <x:c r="K7" s="30" t="str">
        <x:v>Count may be useful UI metadata, but net quantity still comes from the package label.</x:v>
      </x:c>
    </x:row>
    <x:row r="8" ht="34" customHeight="1">
      <x:c r="A8" s="30" t="str">
        <x:v>Edibles</x:v>
      </x:c>
      <x:c r="B8" s="30" t="str">
        <x:v>Baked Goods</x:v>
      </x:c>
      <x:c r="C8" s="30" t="str">
        <x:v>Solid edible</x:v>
      </x:c>
      <x:c r="D8" s="32" t="str">
        <x:v>Weight</x:v>
      </x:c>
      <x:c r="E8" s="32" t="str">
        <x:v>Net Wt. [oz] ([g])</x:v>
      </x:c>
      <x:c r="F8" s="30" t="str">
        <x:v>Yes</x:v>
      </x:c>
      <x:c r="G8" s="30" t="str">
        <x:v>Yes</x:v>
      </x:c>
      <x:c r="H8" s="30" t="str">
        <x:v>≤10 mg active Δ9-THC</x:v>
      </x:c>
      <x:c r="I8" s="30" t="str">
        <x:v>≤100 mg active Δ9-THC</x:v>
      </x:c>
      <x:c r="J8" s="30" t="str">
        <x:v>Net Qty Imperial; Net Qty Metric; Serving Amount; Servings/Package; cannabinoid serving + total mg</x:v>
      </x:c>
      <x:c r="K8" s="30" t="str">
        <x:v>Use net weight from the actual labeled SKU.</x:v>
      </x:c>
    </x:row>
    <x:row r="9" ht="34" customHeight="1">
      <x:c r="A9" s="30" t="str">
        <x:v>Edibles</x:v>
      </x:c>
      <x:c r="B9" s="30" t="str">
        <x:v>Capsules</x:v>
      </x:c>
      <x:c r="C9" s="30" t="str">
        <x:v>Solid edible / board-approved similar form</x:v>
      </x:c>
      <x:c r="D9" s="32" t="str">
        <x:v>Weight or applicable net quantity</x:v>
      </x:c>
      <x:c r="E9" s="32" t="str">
        <x:v>Net Wt. [oz] ([g]) or labeled quantity</x:v>
      </x:c>
      <x:c r="F9" s="30" t="str">
        <x:v>Yes</x:v>
      </x:c>
      <x:c r="G9" s="30" t="str">
        <x:v>Yes</x:v>
      </x:c>
      <x:c r="H9" s="30" t="str">
        <x:v>≤10 mg active Δ9-THC</x:v>
      </x:c>
      <x:c r="I9" s="30" t="str">
        <x:v>≤100 mg active Δ9-THC</x:v>
      </x:c>
      <x:c r="J9" s="30" t="str">
        <x:v>Net Qty; Count; Serving Amount; Servings/Package; cannabinoid serving + total mg</x:v>
      </x:c>
      <x:c r="K9" s="30" t="str">
        <x:v>Keep capsule count as supplemental metadata; preserve labeled net quantity.</x:v>
      </x:c>
    </x:row>
    <x:row r="10" ht="34" customHeight="1">
      <x:c r="A10" s="30" t="str">
        <x:v>Drinks</x:v>
      </x:c>
      <x:c r="B10" s="30" t="str">
        <x:v>Drink</x:v>
      </x:c>
      <x:c r="C10" s="30" t="str">
        <x:v>Liquid edible</x:v>
      </x:c>
      <x:c r="D10" s="32" t="str">
        <x:v>Volume</x:v>
      </x:c>
      <x:c r="E10" s="32" t="str">
        <x:v>Net Vol. [fl oz] ([mL])</x:v>
      </x:c>
      <x:c r="F10" s="30" t="str">
        <x:v>Yes</x:v>
      </x:c>
      <x:c r="G10" s="30" t="str">
        <x:v>Yes</x:v>
      </x:c>
      <x:c r="H10" s="30" t="str">
        <x:v>≤10 mg active Δ9-THC</x:v>
      </x:c>
      <x:c r="I10" s="30" t="str">
        <x:v>≤100 mg active Δ9-THC</x:v>
      </x:c>
      <x:c r="J10" s="30" t="str">
        <x:v>Net Vol Imperial; Net Vol Metric; Serving Volume; Servings/Package; cannabinoid serving + total mg</x:v>
      </x:c>
      <x:c r="K10" s="30" t="str">
        <x:v>Multi-serving liquid edibles also require a resealable closure and measuring mechanism.</x:v>
      </x:c>
    </x:row>
    <x:row r="11" ht="34" customHeight="1">
      <x:c r="A11" s="30" t="str">
        <x:v>Drinks</x:v>
      </x:c>
      <x:c r="B11" s="30" t="str">
        <x:v>Seltzer</x:v>
      </x:c>
      <x:c r="C11" s="30" t="str">
        <x:v>Liquid edible</x:v>
      </x:c>
      <x:c r="D11" s="32" t="str">
        <x:v>Volume</x:v>
      </x:c>
      <x:c r="E11" s="32" t="str">
        <x:v>Net Vol. [fl oz] ([mL])</x:v>
      </x:c>
      <x:c r="F11" s="30" t="str">
        <x:v>Yes</x:v>
      </x:c>
      <x:c r="G11" s="30" t="str">
        <x:v>Yes</x:v>
      </x:c>
      <x:c r="H11" s="30" t="str">
        <x:v>≤10 mg active Δ9-THC</x:v>
      </x:c>
      <x:c r="I11" s="30" t="str">
        <x:v>≤100 mg active Δ9-THC</x:v>
      </x:c>
      <x:c r="J11" s="30" t="str">
        <x:v>Net Vol Imperial; Net Vol Metric; Serving Volume; Servings/Package; cannabinoid serving + total mg</x:v>
      </x:c>
      <x:c r="K11" s="30" t="str">
        <x:v>For a one-serving can, serving volume may equal total net volume.</x:v>
      </x:c>
    </x:row>
    <x:row r="12" ht="34" customHeight="1">
      <x:c r="A12" s="30" t="str">
        <x:v>Drinks</x:v>
      </x:c>
      <x:c r="B12" s="30" t="str">
        <x:v>Shot</x:v>
      </x:c>
      <x:c r="C12" s="30" t="str">
        <x:v>Liquid edible</x:v>
      </x:c>
      <x:c r="D12" s="32" t="str">
        <x:v>Volume</x:v>
      </x:c>
      <x:c r="E12" s="32" t="str">
        <x:v>Net Vol. [fl oz] ([mL])</x:v>
      </x:c>
      <x:c r="F12" s="30" t="str">
        <x:v>Yes</x:v>
      </x:c>
      <x:c r="G12" s="30" t="str">
        <x:v>Yes</x:v>
      </x:c>
      <x:c r="H12" s="30" t="str">
        <x:v>≤10 mg active Δ9-THC</x:v>
      </x:c>
      <x:c r="I12" s="30" t="str">
        <x:v>≤100 mg active Δ9-THC</x:v>
      </x:c>
      <x:c r="J12" s="30" t="str">
        <x:v>Net Vol Imperial; Net Vol Metric; Serving Volume; Servings/Package; cannabinoid serving + total mg</x:v>
      </x:c>
      <x:c r="K12" s="30" t="str">
        <x:v>If multi-serving, preserve the processor's stated serving volume and measuring method.</x:v>
      </x:c>
    </x:row>
    <x:row r="13" ht="34" customHeight="1">
      <x:c r="A13" s="30" t="str">
        <x:v>Drinks</x:v>
      </x:c>
      <x:c r="B13" s="30" t="str">
        <x:v>Honey</x:v>
      </x:c>
      <x:c r="C13" s="30" t="str">
        <x:v>Edible; physical form can vary</x:v>
      </x:c>
      <x:c r="D13" s="32" t="str">
        <x:v>Weight or volume as applicable</x:v>
      </x:c>
      <x:c r="E13" s="32" t="str">
        <x:v>Use labeled Net Wt. or Net Vol.</x:v>
      </x:c>
      <x:c r="F13" s="30" t="str">
        <x:v>Yes if treated/labeled as edible</x:v>
      </x:c>
      <x:c r="G13" s="30" t="str">
        <x:v>Yes if treated/labeled as edible</x:v>
      </x:c>
      <x:c r="H13" s="30" t="str">
        <x:v>≤10 mg active Δ9-THC</x:v>
      </x:c>
      <x:c r="I13" s="30" t="str">
        <x:v>≤100 mg active Δ9-THC</x:v>
      </x:c>
      <x:c r="J13" s="30" t="str">
        <x:v>Labeled Net Qty; Serving Amount; Servings/Package; cannabinoid serving + total mg</x:v>
      </x:c>
      <x:c r="K13" s="30" t="str">
        <x:v>Do not infer weight vs volume from product name; use the processor's actual regulatory label.</x:v>
      </x:c>
    </x:row>
    <x:row r="14" ht="34" customHeight="1">
      <x:c r="A14" s="30" t="str">
        <x:v>Drinks</x:v>
      </x:c>
      <x:c r="B14" s="30" t="str">
        <x:v>Sorbet</x:v>
      </x:c>
      <x:c r="C14" s="30" t="str">
        <x:v>Edible; frozen/semi-solid</x:v>
      </x:c>
      <x:c r="D14" s="32" t="str">
        <x:v>Weight or volume as applicable</x:v>
      </x:c>
      <x:c r="E14" s="32" t="str">
        <x:v>Use labeled Net Wt. or Net Vol.</x:v>
      </x:c>
      <x:c r="F14" s="30" t="str">
        <x:v>Yes</x:v>
      </x:c>
      <x:c r="G14" s="30" t="str">
        <x:v>Yes</x:v>
      </x:c>
      <x:c r="H14" s="30" t="str">
        <x:v>≤10 mg active Δ9-THC</x:v>
      </x:c>
      <x:c r="I14" s="30" t="str">
        <x:v>≤100 mg active Δ9-THC</x:v>
      </x:c>
      <x:c r="J14" s="30" t="str">
        <x:v>Labeled Net Qty; Serving Amount; Servings/Package; cannabinoid serving + total mg</x:v>
      </x:c>
      <x:c r="K14" s="30" t="str">
        <x:v>Use the packaged product's actual net quantity declaration.</x:v>
      </x:c>
    </x:row>
    <x:row r="15" ht="34" customHeight="1">
      <x:c r="A15" s="30" t="str">
        <x:v>Topicals</x:v>
      </x:c>
      <x:c r="B15" s="30" t="str">
        <x:v>Cream / Balm / Salve / Stick</x:v>
      </x:c>
      <x:c r="C15" s="30" t="str">
        <x:v>Cannabis topical</x:v>
      </x:c>
      <x:c r="D15" s="32" t="str">
        <x:v>Weight or volume as applicable</x:v>
      </x:c>
      <x:c r="E15" s="32" t="str">
        <x:v>Use labeled Net Wt. or Net Vol.</x:v>
      </x:c>
      <x:c r="F15" s="30" t="str">
        <x:v>Not explicitly required by topical labeling subsection</x:v>
      </x:c>
      <x:c r="G15" s="30" t="str">
        <x:v>Not explicitly required by topical labeling subsection</x:v>
      </x:c>
      <x:c r="H15" s="30" t="str">
        <x:v>See WAC 314-55-095 applicability</x:v>
      </x:c>
      <x:c r="I15" s="30" t="str">
        <x:v>See WAC 314-55-095 applicability</x:v>
      </x:c>
      <x:c r="J15" s="30" t="str">
        <x:v>Net Qty Imperial; Net Qty Metric; total cannabinoid mg; optional count</x:v>
      </x:c>
      <x:c r="K15" s="30" t="str">
        <x:v>Keep Net Amount as metadata, not necessarily a global shopper filter.</x:v>
      </x:c>
    </x:row>
    <x:row r="16" ht="34" customHeight="1">
      <x:c r="A16" s="30" t="str">
        <x:v>Topicals</x:v>
      </x:c>
      <x:c r="B16" s="30" t="str">
        <x:v>Lotion / Oil / Gel / Roll-On / Lubricant</x:v>
      </x:c>
      <x:c r="C16" s="30" t="str">
        <x:v>Cannabis topical</x:v>
      </x:c>
      <x:c r="D16" s="32" t="str">
        <x:v>Volume or weight as applicable</x:v>
      </x:c>
      <x:c r="E16" s="32" t="str">
        <x:v>Use labeled Net Vol. or Net Wt.</x:v>
      </x:c>
      <x:c r="F16" s="30" t="str">
        <x:v>Not explicitly required by topical labeling subsection</x:v>
      </x:c>
      <x:c r="G16" s="30" t="str">
        <x:v>Not explicitly required by topical labeling subsection</x:v>
      </x:c>
      <x:c r="H16" s="30" t="str">
        <x:v>See WAC 314-55-095 applicability</x:v>
      </x:c>
      <x:c r="I16" s="30" t="str">
        <x:v>See WAC 314-55-095 applicability</x:v>
      </x:c>
      <x:c r="J16" s="30" t="str">
        <x:v>Net Qty Imperial; Net Qty Metric; total cannabinoid mg; optional count</x:v>
      </x:c>
      <x:c r="K16" s="30" t="str">
        <x:v>Use the label's actual basis; many of these SKUs are volume-based.</x:v>
      </x:c>
    </x:row>
    <x:row r="17" ht="34" customHeight="1">
      <x:c r="A17" s="30" t="str">
        <x:v>Topicals</x:v>
      </x:c>
      <x:c r="B17" s="30" t="str">
        <x:v>Bath Soak / Salts</x:v>
      </x:c>
      <x:c r="C17" s="30" t="str">
        <x:v>Cannabis topical</x:v>
      </x:c>
      <x:c r="D17" s="32" t="str">
        <x:v>Weight or volume as applicable</x:v>
      </x:c>
      <x:c r="E17" s="32" t="str">
        <x:v>Use labeled Net Wt. or Net Vol.</x:v>
      </x:c>
      <x:c r="F17" s="30" t="str">
        <x:v>Not explicitly required by topical labeling subsection</x:v>
      </x:c>
      <x:c r="G17" s="30" t="str">
        <x:v>Not explicitly required by topical labeling subsection</x:v>
      </x:c>
      <x:c r="H17" s="30" t="str">
        <x:v>See WAC 314-55-095 applicability</x:v>
      </x:c>
      <x:c r="I17" s="30" t="str">
        <x:v>See WAC 314-55-095 applicability</x:v>
      </x:c>
      <x:c r="J17" s="30" t="str">
        <x:v>Net Qty Imperial; Net Qty Metric; total cannabinoid mg</x:v>
      </x:c>
      <x:c r="K17" s="30" t="str">
        <x:v>Bath salts will commonly be weight-based, but ingest the actual label declaration.</x:v>
      </x:c>
    </x:row>
    <x:row r="18" ht="34" customHeight="1">
      <x:c r="A18" s="30" t="str">
        <x:v>Topicals</x:v>
      </x:c>
      <x:c r="B18" s="30" t="str">
        <x:v>Patch</x:v>
      </x:c>
      <x:c r="C18" s="30" t="str">
        <x:v>Cannabis topical</x:v>
      </x:c>
      <x:c r="D18" s="32" t="str">
        <x:v>Net quantity as applicable + count metadata</x:v>
      </x:c>
      <x:c r="E18" s="32" t="str">
        <x:v>Use labeled net quantity; also store patch count</x:v>
      </x:c>
      <x:c r="F18" s="30" t="str">
        <x:v>Not explicitly required by topical labeling subsection</x:v>
      </x:c>
      <x:c r="G18" s="30" t="str">
        <x:v>Not explicitly required by topical labeling subsection</x:v>
      </x:c>
      <x:c r="H18" s="30" t="str">
        <x:v>See WAC 314-55-095 applicability</x:v>
      </x:c>
      <x:c r="I18" s="30" t="str">
        <x:v>See WAC 314-55-095 applicability</x:v>
      </x:c>
      <x:c r="J18" s="30" t="str">
        <x:v>Net Qty; Patch Count; total cannabinoid mg</x:v>
      </x:c>
      <x:c r="K18" s="30" t="str">
        <x:v>Count is useful to shoppers, but do not replace the processor's required net quantity declaration.</x:v>
      </x:c>
    </x:row>
    <x:row r="19" ht="34" customHeight="1">
      <x:c r="A19" s="30" t="str">
        <x:v>Flower</x:v>
      </x:c>
      <x:c r="B19" s="30" t="str">
        <x:v>Loose Flower</x:v>
      </x:c>
      <x:c r="C19" s="30" t="str">
        <x:v>Useable cannabis</x:v>
      </x:c>
      <x:c r="D19" s="30" t="str">
        <x:v>Weight</x:v>
      </x:c>
      <x:c r="E19" s="30" t="str">
        <x:v>Net Wt. [oz] ([g])</x:v>
      </x:c>
      <x:c r="F19" s="30" t="str">
        <x:v>No edible-style serving requirement</x:v>
      </x:c>
      <x:c r="G19" s="30" t="str">
        <x:v>No</x:v>
      </x:c>
      <x:c r="H19" s="30" t="str">
        <x:v>N/A</x:v>
      </x:c>
      <x:c r="I19" s="30" t="str">
        <x:v>N/A</x:v>
      </x:c>
      <x:c r="J19" s="30" t="str">
        <x:v>Net Qty Imperial; Net Qty Metric; THC %; CBD %; grow type</x:v>
      </x:c>
      <x:c r="K19" s="30" t="str">
        <x:v>Use package net weight as the authoritative SKU size. Adult-use transaction limit is 1 oz total useable cannabis.</x:v>
      </x:c>
    </x:row>
    <x:row r="20" ht="34" customHeight="1">
      <x:c r="A20" s="30" t="str">
        <x:v>Pre-Rolls</x:v>
      </x:c>
      <x:c r="B20" s="30" t="str">
        <x:v>Flower Pre-Roll</x:v>
      </x:c>
      <x:c r="C20" s="30" t="str">
        <x:v>Useable cannabis</x:v>
      </x:c>
      <x:c r="D20" s="30" t="str">
        <x:v>Weight</x:v>
      </x:c>
      <x:c r="E20" s="30" t="str">
        <x:v>Net Wt. [oz] ([g])</x:v>
      </x:c>
      <x:c r="F20" s="30" t="str">
        <x:v>No edible-style serving requirement</x:v>
      </x:c>
      <x:c r="G20" s="30" t="str">
        <x:v>No</x:v>
      </x:c>
      <x:c r="H20" s="30" t="str">
        <x:v>N/A</x:v>
      </x:c>
      <x:c r="I20" s="30" t="str">
        <x:v>N/A</x:v>
      </x:c>
      <x:c r="J20" s="30" t="str">
        <x:v>Net Qty Imperial; Net Qty Metric; Unit Weight; Pack Count; THC %; CBD %</x:v>
      </x:c>
      <x:c r="K20" s="30" t="str">
        <x:v>Plain flower pre-rolls are treated as useable cannabis. Track total package weight plus pack count/unit weight for UX.</x:v>
      </x:c>
    </x:row>
    <x:row r="21" ht="34" customHeight="1">
      <x:c r="A21" s="30" t="str">
        <x:v>Pre-Rolls</x:v>
      </x:c>
      <x:c r="B21" s="30" t="str">
        <x:v>CBD Flower Pre-Roll</x:v>
      </x:c>
      <x:c r="C21" s="30" t="str">
        <x:v>Useable cannabis</x:v>
      </x:c>
      <x:c r="D21" s="30" t="str">
        <x:v>Weight</x:v>
      </x:c>
      <x:c r="E21" s="30" t="str">
        <x:v>Net Wt. [oz] ([g])</x:v>
      </x:c>
      <x:c r="F21" s="30" t="str">
        <x:v>No edible-style serving requirement</x:v>
      </x:c>
      <x:c r="G21" s="30" t="str">
        <x:v>No</x:v>
      </x:c>
      <x:c r="H21" s="30" t="str">
        <x:v>N/A</x:v>
      </x:c>
      <x:c r="I21" s="30" t="str">
        <x:v>N/A</x:v>
      </x:c>
      <x:c r="J21" s="30" t="str">
        <x:v>Net Qty Imperial; Net Qty Metric; Unit Weight; Pack Count; THC %; CBD %</x:v>
      </x:c>
      <x:c r="K21" s="30" t="str">
        <x:v>Use actual licensed product classification; plain flower-style CBD pre-rolls remain in the useable-cannabis weight model.</x:v>
      </x:c>
    </x:row>
    <x:row r="22" ht="34" customHeight="1">
      <x:c r="A22" s="30" t="str">
        <x:v>Pre-Rolls</x:v>
      </x:c>
      <x:c r="B22" s="30" t="str">
        <x:v>Infused Pre-Roll</x:v>
      </x:c>
      <x:c r="C22" s="30" t="str">
        <x:v>Concentrate classification in CCRS</x:v>
      </x:c>
      <x:c r="D22" s="30" t="str">
        <x:v>Weight</x:v>
      </x:c>
      <x:c r="E22" s="30" t="str">
        <x:v>Net Wt. [oz] ([g])</x:v>
      </x:c>
      <x:c r="F22" s="30" t="str">
        <x:v>No edible-style serving requirement</x:v>
      </x:c>
      <x:c r="G22" s="30" t="str">
        <x:v>No</x:v>
      </x:c>
      <x:c r="H22" s="30" t="str">
        <x:v>N/A</x:v>
      </x:c>
      <x:c r="I22" s="30" t="str">
        <x:v>N/A</x:v>
      </x:c>
      <x:c r="J22" s="30" t="str">
        <x:v>Net Qty Imperial; Net Qty Metric; Unit Weight; Pack Count; THC %; CBD %; infusion/concentrate type</x:v>
      </x:c>
      <x:c r="K22" s="30" t="str">
        <x:v>Washington LCB CCRS guidance categorizes infused pre-rolls as concentrates. A single concentrate unit cannot exceed 1 g; adult-use concentrate transaction limit is 7 g.</x:v>
      </x:c>
    </x:row>
    <x:row r="23" ht="34" customHeight="1">
      <x:c r="A23" s="30" t="str">
        <x:v>Pre-Rolls</x:v>
      </x:c>
      <x:c r="B23" s="30" t="str">
        <x:v>Trifecta / Multi-Infused Pre-Roll</x:v>
      </x:c>
      <x:c r="C23" s="30" t="str">
        <x:v>Concentrate classification in CCRS</x:v>
      </x:c>
      <x:c r="D23" s="30" t="str">
        <x:v>Weight</x:v>
      </x:c>
      <x:c r="E23" s="30" t="str">
        <x:v>Net Wt. [oz] ([g])</x:v>
      </x:c>
      <x:c r="F23" s="30" t="str">
        <x:v>No edible-style serving requirement</x:v>
      </x:c>
      <x:c r="G23" s="30" t="str">
        <x:v>No</x:v>
      </x:c>
      <x:c r="H23" s="30" t="str">
        <x:v>N/A</x:v>
      </x:c>
      <x:c r="I23" s="30" t="str">
        <x:v>N/A</x:v>
      </x:c>
      <x:c r="J23" s="30" t="str">
        <x:v>Net Qty Imperial; Net Qty Metric; Unit Weight; Pack Count; THC %; CBD %; oil type; kief/hash type</x:v>
      </x:c>
      <x:c r="K23" s="30" t="str">
        <x:v>Treat as concentrate-classified for compliance logic when the SKU is an infused pre-roll. Preserve the POS/CCRS product classification.</x:v>
      </x:c>
    </x:row>
    <x:row r="24" ht="34" customHeight="1">
      <x:c r="A24" s="30" t="str">
        <x:v>Concentrates</x:v>
      </x:c>
      <x:c r="B24" s="30" t="str">
        <x:v>Extract / Concentrate for inhalation</x:v>
      </x:c>
      <x:c r="C24" s="30" t="str">
        <x:v>Cannabis concentrate</x:v>
      </x:c>
      <x:c r="D24" s="30" t="str">
        <x:v>Weight or volume as applicable</x:v>
      </x:c>
      <x:c r="E24" s="30" t="str">
        <x:v>Net Wt. [oz] ([g]) or Net Vol. as labeled</x:v>
      </x:c>
      <x:c r="F24" s="30" t="str">
        <x:v>No edible-style serving requirement</x:v>
      </x:c>
      <x:c r="G24" s="30" t="str">
        <x:v>No</x:v>
      </x:c>
      <x:c r="H24" s="30" t="str">
        <x:v>N/A</x:v>
      </x:c>
      <x:c r="I24" s="30" t="str">
        <x:v>N/A</x:v>
      </x:c>
      <x:c r="J24" s="30" t="str">
        <x:v>Net Qty Imperial; Net Qty Metric; concentrate type; THC %; CBD %; extraction method</x:v>
      </x:c>
      <x:c r="K24" s="30" t="str">
        <x:v>A single concentrate unit cannot exceed 1 g. Adult-use transaction limit is 7 g of cannabis-infused extract or cannabis concentrate for inhalation.</x:v>
      </x:c>
    </x:row>
    <x:row r="25" ht="34" customHeight="1">
      <x:c r="A25" s="30" t="str">
        <x:v>Concentrates</x:v>
      </x:c>
      <x:c r="B25" s="30" t="str">
        <x:v>Kief / Hash / Other Concentrate</x:v>
      </x:c>
      <x:c r="C25" s="30" t="str">
        <x:v>Cannabis concentrate if classified as concentrate</x:v>
      </x:c>
      <x:c r="D25" s="30" t="str">
        <x:v>Weight</x:v>
      </x:c>
      <x:c r="E25" s="30" t="str">
        <x:v>Net Wt. [oz] ([g])</x:v>
      </x:c>
      <x:c r="F25" s="30" t="str">
        <x:v>No edible-style serving requirement</x:v>
      </x:c>
      <x:c r="G25" s="30" t="str">
        <x:v>No</x:v>
      </x:c>
      <x:c r="H25" s="30" t="str">
        <x:v>N/A</x:v>
      </x:c>
      <x:c r="I25" s="30" t="str">
        <x:v>N/A</x:v>
      </x:c>
      <x:c r="J25" s="30" t="str">
        <x:v>Net Qty Imperial; Net Qty Metric; concentrate type; THC %; CBD %</x:v>
      </x:c>
      <x:c r="K25" s="30" t="str">
        <x:v>Use the licensed inventory classification. If categorized as concentrate, apply the 1 g single-unit and 7 g adult-use transaction limits.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13" hidden="0" customWidth="1"/>
    <x:col min="5" max="5" width="15" hidden="0" customWidth="1"/>
    <x:col min="6" max="6" width="34" hidden="0" customWidth="1"/>
    <x:col min="7" max="7" width="30" hidden="0" customWidth="1"/>
    <x:col min="8" max="8" width="24" hidden="0" customWidth="1"/>
    <x:col min="9" max="9" width="48" hidden="0" customWidth="1"/>
    <x:col min="10" max="10" width="42" hidden="0" customWidth="1"/>
  </x:cols>
  <x:sheetData>
    <x:row r="1" ht="28" customHeight="1">
      <x:c r="A1" s="5" t="str">
        <x:v>Washington Regulatory Quantity &amp; Cannabinoid Limits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Current rule reference checked September 22, 2026. Transaction limits are purchase limits, not recommended SKU sizes.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2" customHeight="1">
      <x:c r="A4" s="22" t="str">
        <x:v>Population / Rule</x:v>
      </x:c>
      <x:c r="B4" s="22" t="str">
        <x:v>Applies To</x:v>
      </x:c>
      <x:c r="C4" s="22" t="str">
        <x:v>Limit Type</x:v>
      </x:c>
      <x:c r="D4" s="22" t="str">
        <x:v>Limit</x:v>
      </x:c>
      <x:c r="E4" s="22" t="str">
        <x:v>Unit</x:v>
      </x:c>
      <x:c r="F4" s="22" t="str">
        <x:v>Key Condition</x:v>
      </x:c>
      <x:c r="G4" s="22" t="str">
        <x:v>App Relevance</x:v>
      </x:c>
      <x:c r="H4" s="22" t="str">
        <x:v>WAC</x:v>
      </x:c>
      <x:c r="I4" s="22" t="str">
        <x:v>Source URL</x:v>
      </x:c>
      <x:c r="J4" s="22" t="str">
        <x:v>Notes</x:v>
      </x:c>
    </x:row>
    <x:row r="5">
      <x:c r="A5" s="30" t="str">
        <x:v>Adult-use / non-database medical</x:v>
      </x:c>
      <x:c r="B5" s="30" t="str">
        <x:v>Cannabis-infused products</x:v>
      </x:c>
      <x:c r="C5" s="32" t="str">
        <x:v>Single serving active Δ9-THC</x:v>
      </x:c>
      <x:c r="D5" s="40" t="n">
        <x:v>10</x:v>
      </x:c>
      <x:c r="E5" s="32" t="str">
        <x:v>mg</x:v>
      </x:c>
      <x:c r="F5" s="30" t="str">
        <x:v>Per serving</x:v>
      </x:c>
      <x:c r="G5" s="30" t="str">
        <x:v>Validate THC Serving mg ≤ 10</x:v>
      </x:c>
      <x:c r="H5" s="30" t="str">
        <x:v>314-55-095(1)(a)</x:v>
      </x:c>
      <x:c r="I5" s="30" t="str">
        <x:v>https://app.leg.wa.gov/wac/default.aspx?cite=314-55-095</x:v>
      </x:c>
      <x:c r="J5" s="30" t="str">
        <x:v>Additional tetrahydrocannabinol compounds have separate per-serving limits.</x:v>
      </x:c>
    </x:row>
    <x:row r="6">
      <x:c r="A6" s="30" t="str">
        <x:v>Adult-use / non-database medical</x:v>
      </x:c>
      <x:c r="B6" s="30" t="str">
        <x:v>Other tetrahydrocannabinol compound</x:v>
      </x:c>
      <x:c r="C6" s="32" t="str">
        <x:v>Single additional THC compound</x:v>
      </x:c>
      <x:c r="D6" s="40" t="n">
        <x:v>0.5</x:v>
      </x:c>
      <x:c r="E6" s="32" t="str">
        <x:v>mg</x:v>
      </x:c>
      <x:c r="F6" s="30" t="str">
        <x:v>Per serving, each additional THC compound</x:v>
      </x:c>
      <x:c r="G6" s="30" t="str">
        <x:v>Only relevant if SKU contains other THC compounds</x:v>
      </x:c>
      <x:c r="H6" s="30" t="str">
        <x:v>314-55-095(1)(a)</x:v>
      </x:c>
      <x:c r="I6" s="30" t="str">
        <x:v>https://app.leg.wa.gov/wac/default.aspx?cite=314-55-095</x:v>
      </x:c>
      <x:c r="J6" s="30" t="str">
        <x:v>This is not a general cap on CBD/CBG/CBN.</x:v>
      </x:c>
    </x:row>
    <x:row r="7">
      <x:c r="A7" s="30" t="str">
        <x:v>Adult-use / non-database medical</x:v>
      </x:c>
      <x:c r="B7" s="30" t="str">
        <x:v>Combined additional tetrahydrocannabinol compounds</x:v>
      </x:c>
      <x:c r="C7" s="32" t="str">
        <x:v>Combined additional THC compounds</x:v>
      </x:c>
      <x:c r="D7" s="40" t="n">
        <x:v>1</x:v>
      </x:c>
      <x:c r="E7" s="32" t="str">
        <x:v>mg</x:v>
      </x:c>
      <x:c r="F7" s="30" t="str">
        <x:v>Per serving</x:v>
      </x:c>
      <x:c r="G7" s="30" t="str">
        <x:v>Only relevant if SKU contains other THC compounds</x:v>
      </x:c>
      <x:c r="H7" s="30" t="str">
        <x:v>314-55-095(1)(a)</x:v>
      </x:c>
      <x:c r="I7" s="30" t="str">
        <x:v>https://app.leg.wa.gov/wac/default.aspx?cite=314-55-095</x:v>
      </x:c>
      <x:c r="J7" s="30" t="str">
        <x:v>Separate from the 10 mg active delta-9 THC serving limit.</x:v>
      </x:c>
    </x:row>
    <x:row r="8">
      <x:c r="A8" s="30" t="str">
        <x:v>Adult-use / non-database medical</x:v>
      </x:c>
      <x:c r="B8" s="30" t="str">
        <x:v>Cannabis-infused product meant to be eaten/swallowed/otherwise taken into body</x:v>
      </x:c>
      <x:c r="C8" s="32" t="str">
        <x:v>Single package active Δ9-THC</x:v>
      </x:c>
      <x:c r="D8" s="40" t="n">
        <x:v>100</x:v>
      </x:c>
      <x:c r="E8" s="32" t="str">
        <x:v>mg</x:v>
      </x:c>
      <x:c r="F8" s="30" t="str">
        <x:v>Per package</x:v>
      </x:c>
      <x:c r="G8" s="30" t="str">
        <x:v>Validate ingestible package THC total ≤ 100 mg</x:v>
      </x:c>
      <x:c r="H8" s="30" t="str">
        <x:v>314-55-095(1)(b)</x:v>
      </x:c>
      <x:c r="I8" s="30" t="str">
        <x:v>https://app.leg.wa.gov/wac/default.aspx?cite=314-55-095</x:v>
      </x:c>
      <x:c r="J8" s="30" t="str">
        <x:v>Package THC limit and physical net quantity are different dimensions.</x:v>
      </x:c>
    </x:row>
    <x:row r="9">
      <x:c r="A9" s="30" t="str">
        <x:v>Adult-use / non-database medical</x:v>
      </x:c>
      <x:c r="B9" s="30" t="str">
        <x:v>Solid edible</x:v>
      </x:c>
      <x:c r="C9" s="32" t="str">
        <x:v>Single transaction physical quantity</x:v>
      </x:c>
      <x:c r="D9" s="40" t="n">
        <x:v>16</x:v>
      </x:c>
      <x:c r="E9" s="32" t="str">
        <x:v>oz</x:v>
      </x:c>
      <x:c r="F9" s="30" t="str">
        <x:v>Solid cannabis-infused product meant to be eaten or swallowed</x:v>
      </x:c>
      <x:c r="G9" s="30" t="str">
        <x:v>Cart-limit logic, not SKU size</x:v>
      </x:c>
      <x:c r="H9" s="30" t="str">
        <x:v>314-55-095(1)(d)(i)(B)</x:v>
      </x:c>
      <x:c r="I9" s="30" t="str">
        <x:v>https://app.leg.wa.gov/wac/default.aspx?cite=314-55-095</x:v>
      </x:c>
      <x:c r="J9" s="30" t="str">
        <x:v>Equivalent to about 453.6 g; regulation states 16 oz.</x:v>
      </x:c>
    </x:row>
    <x:row r="10">
      <x:c r="A10" s="30" t="str">
        <x:v>Adult-use / non-database medical</x:v>
      </x:c>
      <x:c r="B10" s="30" t="str">
        <x:v>Cannabis-infused product otherwise taken into body</x:v>
      </x:c>
      <x:c r="C10" s="32" t="str">
        <x:v>Single transaction count</x:v>
      </x:c>
      <x:c r="D10" s="40" t="n">
        <x:v>10</x:v>
      </x:c>
      <x:c r="E10" s="32" t="str">
        <x:v>units</x:v>
      </x:c>
      <x:c r="F10" s="30" t="str">
        <x:v>Where the product is not covered by the specific solid/liquid categories</x:v>
      </x:c>
      <x:c r="G10" s="30" t="str">
        <x:v>Potential cart-limit logic</x:v>
      </x:c>
      <x:c r="H10" s="30" t="str">
        <x:v>314-55-095(1)(d)(i)(D)</x:v>
      </x:c>
      <x:c r="I10" s="30" t="str">
        <x:v>https://app.leg.wa.gov/wac/default.aspx?cite=314-55-095</x:v>
      </x:c>
      <x:c r="J10" s="30" t="str">
        <x:v>Product classification should come from licensed inventory data.</x:v>
      </x:c>
    </x:row>
    <x:row r="11">
      <x:c r="A11" s="30" t="str">
        <x:v>Adult-use / non-database medical</x:v>
      </x:c>
      <x:c r="B11" s="30" t="str">
        <x:v>Liquid edible or liquid topical</x:v>
      </x:c>
      <x:c r="C11" s="32" t="str">
        <x:v>Single transaction physical quantity</x:v>
      </x:c>
      <x:c r="D11" s="40" t="n">
        <x:v>72</x:v>
      </x:c>
      <x:c r="E11" s="32" t="str">
        <x:v>oz</x:v>
      </x:c>
      <x:c r="F11" s="30" t="str">
        <x:v>Liquid form for oral ingestion or applied topically, except low-dose unit exception</x:v>
      </x:c>
      <x:c r="G11" s="30" t="str">
        <x:v>Cart-limit logic, not SKU size</x:v>
      </x:c>
      <x:c r="H11" s="30" t="str">
        <x:v>314-55-095(1)(d)(i)(E)</x:v>
      </x:c>
      <x:c r="I11" s="30" t="str">
        <x:v>https://app.leg.wa.gov/wac/default.aspx?cite=314-55-095</x:v>
      </x:c>
      <x:c r="J11" s="30" t="str">
        <x:v>Regulation uses ounces; preserve licensee/POS classification.</x:v>
      </x:c>
    </x:row>
    <x:row r="12">
      <x:c r="A12" s="30" t="str">
        <x:v>Adult-use / non-database medical</x:v>
      </x:c>
      <x:c r="B12" s="30" t="str">
        <x:v>Low-dose liquid units</x:v>
      </x:c>
      <x:c r="C12" s="32" t="str">
        <x:v>Per-unit active Δ9-THC threshold for exception</x:v>
      </x:c>
      <x:c r="D12" s="40" t="n">
        <x:v>4</x:v>
      </x:c>
      <x:c r="E12" s="32" t="str">
        <x:v>mg</x:v>
      </x:c>
      <x:c r="F12" s="30" t="str">
        <x:v>Individual liquid units</x:v>
      </x:c>
      <x:c r="G12" s="30" t="str">
        <x:v>Used with special transaction exception</x:v>
      </x:c>
      <x:c r="H12" s="30" t="str">
        <x:v>314-55-095(1)(d)(i)(E)-(F)</x:v>
      </x:c>
      <x:c r="I12" s="30" t="str">
        <x:v>https://app.leg.wa.gov/wac/default.aspx?cite=314-55-095</x:v>
      </x:c>
      <x:c r="J12" s="30" t="str">
        <x:v>If each individual unit is ≤4 mg active delta-9 THC, special liquid transaction provisions apply.</x:v>
      </x:c>
    </x:row>
    <x:row r="13">
      <x:c r="A13" s="30" t="str">
        <x:v>Adult-use / non-database medical</x:v>
      </x:c>
      <x:c r="B13" s="30" t="str">
        <x:v>Low-dose liquid units</x:v>
      </x:c>
      <x:c r="C13" s="32" t="str">
        <x:v>Transaction active Δ9-THC exception</x:v>
      </x:c>
      <x:c r="D13" s="40" t="n">
        <x:v>200</x:v>
      </x:c>
      <x:c r="E13" s="32" t="str">
        <x:v>mg</x:v>
      </x:c>
      <x:c r="F13" s="30" t="str">
        <x:v>Active Δ9-THC per transaction</x:v>
      </x:c>
      <x:c r="G13" s="30" t="str">
        <x:v>Only when packaged in individual units ≤4 mg each</x:v>
      </x:c>
      <x:c r="H13" s="30" t="str">
        <x:v>314-55-095(1)(d)(i)(F)</x:v>
      </x:c>
      <x:c r="I13" s="30" t="str">
        <x:v>https://app.leg.wa.gov/wac/default.aspx?cite=314-55-095</x:v>
      </x:c>
      <x:c r="J13" s="30" t="str">
        <x:v>Use only if your POS/inventory classification identifies the product as qualifying.</x:v>
      </x:c>
    </x:row>
    <x:row r="14">
      <x:c r="A14" s="30" t="str">
        <x:v>Medical database</x:v>
      </x:c>
      <x:c r="B14" s="30" t="str">
        <x:v>Cannabis-infused product meant to be eaten, swallowed, or applied</x:v>
      </x:c>
      <x:c r="C14" s="32" t="str">
        <x:v>Single serving active Δ9-THC</x:v>
      </x:c>
      <x:c r="D14" s="40" t="n">
        <x:v>10</x:v>
      </x:c>
      <x:c r="E14" s="32" t="str">
        <x:v>mg</x:v>
      </x:c>
      <x:c r="F14" s="30" t="str">
        <x:v>Except chapter 246-70 WAC</x:v>
      </x:c>
      <x:c r="G14" s="30" t="str">
        <x:v>Separate medical rules may apply</x:v>
      </x:c>
      <x:c r="H14" s="30" t="str">
        <x:v>314-55-095(2)(a)</x:v>
      </x:c>
      <x:c r="I14" s="30" t="str">
        <x:v>https://app.leg.wa.gov/wac/default.aspx?cite=314-55-095</x:v>
      </x:c>
      <x:c r="J14" s="30" t="str">
        <x:v>Compliant cannabis products under chapter 246-70 may differ.</x:v>
      </x:c>
    </x:row>
    <x:row r="15">
      <x:c r="A15" s="30" t="str">
        <x:v>Medical database</x:v>
      </x:c>
      <x:c r="B15" s="30" t="str">
        <x:v>Cannabis-infused product meant to be eaten, swallowed, or applied</x:v>
      </x:c>
      <x:c r="C15" s="32" t="str">
        <x:v>Single package active Δ9-THC</x:v>
      </x:c>
      <x:c r="D15" s="40" t="n">
        <x:v>100</x:v>
      </x:c>
      <x:c r="E15" s="32" t="str">
        <x:v>mg</x:v>
      </x:c>
      <x:c r="F15" s="30" t="str">
        <x:v>Except chapter 246-70 WAC</x:v>
      </x:c>
      <x:c r="G15" s="30" t="str">
        <x:v>Separate medical rules may apply</x:v>
      </x:c>
      <x:c r="H15" s="30" t="str">
        <x:v>314-55-095(2)(b)</x:v>
      </x:c>
      <x:c r="I15" s="30" t="str">
        <x:v>https://app.leg.wa.gov/wac/default.aspx?cite=314-55-095</x:v>
      </x:c>
      <x:c r="J15" s="30" t="str">
        <x:v>Compliant cannabis products under chapter 246-70 may differ.</x:v>
      </x:c>
    </x:row>
    <x:row r="16">
      <x:c r="A16" s="30" t="str">
        <x:v>Medical database</x:v>
      </x:c>
      <x:c r="B16" s="30" t="str">
        <x:v>Solid infused product</x:v>
      </x:c>
      <x:c r="C16" s="32" t="str">
        <x:v>Single transaction physical quantity</x:v>
      </x:c>
      <x:c r="D16" s="40" t="n">
        <x:v>48</x:v>
      </x:c>
      <x:c r="E16" s="32" t="str">
        <x:v>oz</x:v>
      </x:c>
      <x:c r="F16" s="30" t="str">
        <x:v>Medical-endorsed retail transaction</x:v>
      </x:c>
      <x:c r="G16" s="30" t="str">
        <x:v>Optional medical cart logic</x:v>
      </x:c>
      <x:c r="H16" s="30" t="str">
        <x:v>314-55-095(2)(d)</x:v>
      </x:c>
      <x:c r="I16" s="30" t="str">
        <x:v>https://app.leg.wa.gov/wac/default.aspx?cite=314-55-095</x:v>
      </x:c>
      <x:c r="J16" s="30" t="str">
        <x:v>Medical database transaction limit.</x:v>
      </x:c>
    </x:row>
    <x:row r="17">
      <x:c r="A17" s="30" t="str">
        <x:v>Medical database</x:v>
      </x:c>
      <x:c r="B17" s="30" t="str">
        <x:v>Liquid infused product meant to be eaten or swallowed</x:v>
      </x:c>
      <x:c r="C17" s="32" t="str">
        <x:v>Single transaction physical quantity</x:v>
      </x:c>
      <x:c r="D17" s="40" t="n">
        <x:v>216</x:v>
      </x:c>
      <x:c r="E17" s="32" t="str">
        <x:v>oz</x:v>
      </x:c>
      <x:c r="F17" s="30" t="str">
        <x:v>Medical-endorsed retail transaction</x:v>
      </x:c>
      <x:c r="G17" s="30" t="str">
        <x:v>Optional medical cart logic</x:v>
      </x:c>
      <x:c r="H17" s="30" t="str">
        <x:v>314-55-095(2)(d)</x:v>
      </x:c>
      <x:c r="I17" s="30" t="str">
        <x:v>https://app.leg.wa.gov/wac/default.aspx?cite=314-55-095</x:v>
      </x:c>
      <x:c r="J17" s="30" t="str">
        <x:v>Medical database transaction limit.</x:v>
      </x:c>
    </x:row>
    <x:row r="18">
      <x:c r="A18" s="30" t="str">
        <x:v>Adult-use / non-database medical</x:v>
      </x:c>
      <x:c r="B18" s="30" t="str">
        <x:v>Useable cannabis (flower and plain flower pre-rolls)</x:v>
      </x:c>
      <x:c r="C18" s="42" t="str">
        <x:v>Single transaction physical quantity</x:v>
      </x:c>
      <x:c r="D18" s="43" t="n">
        <x:v>1</x:v>
      </x:c>
      <x:c r="E18" s="42" t="str">
        <x:v>oz</x:v>
      </x:c>
      <x:c r="F18" s="30" t="str">
        <x:v>Useable cannabis</x:v>
      </x:c>
      <x:c r="G18" s="30" t="str">
        <x:v>Cart-limit logic; aggregate flower + plain pre-roll weight</x:v>
      </x:c>
      <x:c r="H18" s="30" t="str">
        <x:v>314-55-095(1)(d)(i)(A)</x:v>
      </x:c>
      <x:c r="I18" s="30" t="str">
        <x:v>https://app.leg.wa.gov/wac/default.aspx?cite=314-55-095</x:v>
      </x:c>
      <x:c r="J18" s="30" t="str">
        <x:v>Useable cannabis means dried cannabis flower; plain flower pre-rolls fall under this weight model.</x:v>
      </x:c>
    </x:row>
    <x:row r="19">
      <x:c r="A19" s="30" t="str">
        <x:v>Adult-use / non-database medical</x:v>
      </x:c>
      <x:c r="B19" s="30" t="str">
        <x:v>Cannabis concentrate</x:v>
      </x:c>
      <x:c r="C19" s="42" t="str">
        <x:v>Single concentrate unit</x:v>
      </x:c>
      <x:c r="D19" s="43" t="n">
        <x:v>1</x:v>
      </x:c>
      <x:c r="E19" s="42" t="str">
        <x:v>g</x:v>
      </x:c>
      <x:c r="F19" s="30" t="str">
        <x:v>Per individual concentrate unit</x:v>
      </x:c>
      <x:c r="G19" s="30" t="str">
        <x:v>Validate concentrate-classified unit weight ≤ 1 g</x:v>
      </x:c>
      <x:c r="H19" s="30" t="str">
        <x:v>314-55-095(1)(c)</x:v>
      </x:c>
      <x:c r="I19" s="30" t="str">
        <x:v>https://app.leg.wa.gov/wac/default.aspx?cite=314-55-095</x:v>
      </x:c>
      <x:c r="J19" s="30" t="str">
        <x:v>LCB CCRS guidance says infused pre-rolls are categorized as concentrates and are subject to concentrate serving/transaction limits.</x:v>
      </x:c>
    </x:row>
    <x:row r="20">
      <x:c r="A20" s="30" t="str">
        <x:v>Adult-use / non-database medical</x:v>
      </x:c>
      <x:c r="B20" s="30" t="str">
        <x:v>Cannabis-infused extract or cannabis concentrate for inhalation</x:v>
      </x:c>
      <x:c r="C20" s="42" t="str">
        <x:v>Single transaction physical quantity</x:v>
      </x:c>
      <x:c r="D20" s="43" t="n">
        <x:v>7</x:v>
      </x:c>
      <x:c r="E20" s="42" t="str">
        <x:v>g</x:v>
      </x:c>
      <x:c r="F20" s="30" t="str">
        <x:v>Includes concentrate-classified inhaled products</x:v>
      </x:c>
      <x:c r="G20" s="30" t="str">
        <x:v>Cart-limit logic; includes infused pre-rolls when classified as concentrates</x:v>
      </x:c>
      <x:c r="H20" s="30" t="str">
        <x:v>314-55-095(1)(d)(i)(C)</x:v>
      </x:c>
      <x:c r="I20" s="30" t="str">
        <x:v>https://app.leg.wa.gov/wac/default.aspx?cite=314-55-095</x:v>
      </x:c>
      <x:c r="J20" s="30" t="str">
        <x:v>Do not combine this with the 1 oz useable-cannabis bucket.</x:v>
      </x:c>
    </x:row>
    <x:row r="21">
      <x:c r="A21" s="30" t="str">
        <x:v>Medical database</x:v>
      </x:c>
      <x:c r="B21" s="30" t="str">
        <x:v>Useable cannabis</x:v>
      </x:c>
      <x:c r="C21" s="42" t="str">
        <x:v>Single transaction physical quantity</x:v>
      </x:c>
      <x:c r="D21" s="43" t="n">
        <x:v>3</x:v>
      </x:c>
      <x:c r="E21" s="42" t="str">
        <x:v>oz</x:v>
      </x:c>
      <x:c r="F21" s="30" t="str">
        <x:v>Medical-endorsed retail transaction</x:v>
      </x:c>
      <x:c r="G21" s="30" t="str">
        <x:v>Optional medical cart logic</x:v>
      </x:c>
      <x:c r="H21" s="30" t="str">
        <x:v>314-55-095(2)(d)</x:v>
      </x:c>
      <x:c r="I21" s="30" t="str">
        <x:v>https://app.leg.wa.gov/wac/default.aspx?cite=314-55-095</x:v>
      </x:c>
      <x:c r="J21" s="30" t="str">
        <x:v>Medical database transaction limit.</x:v>
      </x:c>
    </x:row>
    <x:row r="22">
      <x:c r="A22" s="30" t="str">
        <x:v>Medical database</x:v>
      </x:c>
      <x:c r="B22" s="30" t="str">
        <x:v>Cannabis-infused extract or cannabis concentrate for inhalation</x:v>
      </x:c>
      <x:c r="C22" s="42" t="str">
        <x:v>Single transaction physical quantity</x:v>
      </x:c>
      <x:c r="D22" s="43" t="n">
        <x:v>21</x:v>
      </x:c>
      <x:c r="E22" s="42" t="str">
        <x:v>g</x:v>
      </x:c>
      <x:c r="F22" s="30" t="str">
        <x:v>Medical-endorsed retail transaction</x:v>
      </x:c>
      <x:c r="G22" s="30" t="str">
        <x:v>Optional medical cart logic</x:v>
      </x:c>
      <x:c r="H22" s="30" t="str">
        <x:v>314-55-095(2)(d)</x:v>
      </x:c>
      <x:c r="I22" s="30" t="str">
        <x:v>https://app.leg.wa.gov/wac/default.aspx?cite=314-55-095</x:v>
      </x:c>
      <x:c r="J22" s="30" t="str">
        <x:v>Medical database transaction limit.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42" hidden="0" customWidth="1"/>
    <x:col min="4" max="4" width="32" hidden="0" customWidth="1"/>
    <x:col min="5" max="5" width="42" hidden="0" customWidth="1"/>
    <x:col min="6" max="6" width="34" hidden="0" customWidth="1"/>
    <x:col min="7" max="7" width="23" hidden="0" customWidth="1"/>
    <x:col min="8" max="8" width="48" hidden="0" customWidth="1"/>
    <x:col min="9" max="9" width="44" hidden="0" customWidth="1"/>
  </x:cols>
  <x:sheetData>
    <x:row r="1" ht="28" customHeight="1">
      <x:c r="A1" s="5" t="str">
        <x:v>Washington Net Quantity &amp; Serving Label Requirements</x:v>
      </x:c>
      <x:c r="B1" s="5"/>
      <x:c r="C1" s="5"/>
      <x:c r="D1" s="5"/>
      <x:c r="E1" s="5"/>
      <x:c r="F1" s="5"/>
      <x:c r="G1" s="5"/>
      <x:c r="H1" s="5"/>
      <x:c r="I1" s="5"/>
    </x:row>
    <x:row r="3" ht="32" customHeight="1">
      <x:c r="A3" s="22" t="str">
        <x:v>Product Class</x:v>
      </x:c>
      <x:c r="B3" s="22" t="str">
        <x:v>Net Quantity Requirement</x:v>
      </x:c>
      <x:c r="C3" s="22" t="str">
        <x:v>Serving Information</x:v>
      </x:c>
      <x:c r="D3" s="22" t="str">
        <x:v>Cannabinoid Quantity Requirement</x:v>
      </x:c>
      <x:c r="E3" s="22" t="str">
        <x:v>Special Packaging / Measurement Note</x:v>
      </x:c>
      <x:c r="F3" s="22" t="str">
        <x:v>Adopted Weights &amp; Measures Standard</x:v>
      </x:c>
      <x:c r="G3" s="22" t="str">
        <x:v>WAC</x:v>
      </x:c>
      <x:c r="H3" s="22" t="str">
        <x:v>Source URL</x:v>
      </x:c>
      <x:c r="I3" s="22" t="str">
        <x:v>App/Data Recommendation</x:v>
      </x:c>
    </x:row>
    <x:row r="4">
      <x:c r="A4" s="30" t="str">
        <x:v>Solid edible</x:v>
      </x:c>
      <x:c r="B4" s="32" t="str">
        <x:v>Net weight in ounces and grams, or volume as applicable</x:v>
      </x:c>
      <x:c r="C4" s="32" t="str">
        <x:v>Serving size, amount of product per serving, and number of servings must be prominently displayed</x:v>
      </x:c>
      <x:c r="D4" s="32" t="str">
        <x:v>Total THC and Total CBD required</x:v>
      </x:c>
      <x:c r="E4" s="30" t="str">
        <x:v>Solid edible packaging requirements also apply</x:v>
      </x:c>
      <x:c r="F4" s="30" t="str">
        <x:v>NIST Handbook 130, 2016 Edition via chapter 16-662 WAC</x:v>
      </x:c>
      <x:c r="G4" s="30" t="str">
        <x:v>314-55-105(3)(e)-(f)</x:v>
      </x:c>
      <x:c r="H4" s="30" t="str">
        <x:v>https://app.leg.wa.gov/wac/default.aspx?cite=314-55-105</x:v>
      </x:c>
      <x:c r="I4" s="30" t="str">
        <x:v>Store net quantity separately from cannabinoid mg. Store physical serving amount and servings/package.</x:v>
      </x:c>
    </x:row>
    <x:row r="5">
      <x:c r="A5" s="30" t="str">
        <x:v>Liquid edible</x:v>
      </x:c>
      <x:c r="B5" s="32" t="str">
        <x:v>Net weight in ounces and grams or volume as applicable</x:v>
      </x:c>
      <x:c r="C5" s="32" t="str">
        <x:v>Serving size, amount of product per serving, and number of servings must be prominently displayed</x:v>
      </x:c>
      <x:c r="D5" s="32" t="str">
        <x:v>Total THC and Total CBD required</x:v>
      </x:c>
      <x:c r="E5" s="30" t="str">
        <x:v>If more than one serving: resealable closure/cap and measuring device or package markings</x:v>
      </x:c>
      <x:c r="F5" s="30" t="str">
        <x:v>NIST Handbook 130, 2016 Edition via chapter 16-662 WAC</x:v>
      </x:c>
      <x:c r="G5" s="30" t="str">
        <x:v>314-55-105(4)(b)-(e)</x:v>
      </x:c>
      <x:c r="H5" s="30" t="str">
        <x:v>https://app.leg.wa.gov/wac/default.aspx?cite=314-55-105</x:v>
      </x:c>
      <x:c r="I5" s="30" t="str">
        <x:v>Use Net Vol. for normal beverages; retain the exact processor-labeled declaration.</x:v>
      </x:c>
    </x:row>
    <x:row r="6">
      <x:c r="A6" s="30" t="str">
        <x:v>Cannabis topical</x:v>
      </x:c>
      <x:c r="B6" s="32" t="str">
        <x:v>Net weight in ounces and grams or volume as applicable must be prominently displayed</x:v>
      </x:c>
      <x:c r="C6" s="32" t="str">
        <x:v>Topical subsection does not separately require serving size / servings per package display</x:v>
      </x:c>
      <x:c r="D6" s="32" t="str">
        <x:v>Total THC and Total CBD required</x:v>
      </x:c>
      <x:c r="E6" s="30" t="str">
        <x:v>Must not exceed applicable serving and transaction limits in WAC 314-55-095</x:v>
      </x:c>
      <x:c r="F6" s="30" t="str">
        <x:v>NIST Handbook 130, 2016 Edition via chapter 16-662 WAC</x:v>
      </x:c>
      <x:c r="G6" s="30" t="str">
        <x:v>314-55-105(7)(c)-(d)</x:v>
      </x:c>
      <x:c r="H6" s="30" t="str">
        <x:v>https://app.leg.wa.gov/wac/default.aspx?cite=314-55-105</x:v>
      </x:c>
      <x:c r="I6" s="30" t="str">
        <x:v>Use Net Amount as product metadata; choose weight vs volume from the actual labeled SKU.</x:v>
      </x:c>
    </x:row>
    <x:row r="7">
      <x:c r="A7" s="30" t="str">
        <x:v>All covered packaged products</x:v>
      </x:c>
      <x:c r="B7" s="32" t="str">
        <x:v>Follow the applicable net quantity declaration</x:v>
      </x:c>
      <x:c r="C7" s="32" t="str">
        <x:v>Depends on product class</x:v>
      </x:c>
      <x:c r="D7" s="32" t="str">
        <x:v>Cannabinoid labeling rules are separate from physical net quantity</x:v>
      </x:c>
      <x:c r="E7" s="30" t="str">
        <x:v>Washington adopts specific national weights-and-measures standards</x:v>
      </x:c>
      <x:c r="F7" s="30" t="str">
        <x:v>2016 NIST Handbook 130 adopted by WAC 16-662-105</x:v>
      </x:c>
      <x:c r="G7" s="30" t="str">
        <x:v>16-662-105</x:v>
      </x:c>
      <x:c r="H7" s="30" t="str">
        <x:v>https://app.leg.wa.gov/wac/default.aspx?cite=16-662-105</x:v>
      </x:c>
      <x:c r="I7" s="30" t="str">
        <x:v>Do not assume the latest NIST edition; Washington's cited adoption currently specifies 2016.</x:v>
      </x:c>
    </x:row>
    <x:row r="8">
      <x:c r="A8" s="30" t="str">
        <x:v>Useable cannabis / flower</x:v>
      </x:c>
      <x:c r="B8" s="42" t="str">
        <x:v>Net weight in ounces and grams or volume as applicable</x:v>
      </x:c>
      <x:c r="C8" s="42" t="str">
        <x:v>No edible-style serving-size requirement</x:v>
      </x:c>
      <x:c r="D8" s="42" t="str">
        <x:v>Total THC and Total CBD required</x:v>
      </x:c>
      <x:c r="E8" s="30" t="str">
        <x:v>Packaging must protect product from contamination</x:v>
      </x:c>
      <x:c r="F8" s="30" t="str">
        <x:v>NIST Handbook 130, 2016 Edition via chapter 16-662 WAC</x:v>
      </x:c>
      <x:c r="G8" s="30" t="str">
        <x:v>314-55-105(5)(c)-(d)</x:v>
      </x:c>
      <x:c r="H8" s="30" t="str">
        <x:v>https://app.leg.wa.gov/wac/default.aspx?cite=314-55-105</x:v>
      </x:c>
      <x:c r="I8" s="30" t="str">
        <x:v>Use the labeled net weight as the authoritative flower/pre-roll package size.</x:v>
      </x:c>
    </x:row>
    <x:row r="9">
      <x:c r="A9" s="30" t="str">
        <x:v>Cannabis mix / ground flower</x:v>
      </x:c>
      <x:c r="B9" s="42" t="str">
        <x:v>Net weight in ounces and grams or volume as applicable</x:v>
      </x:c>
      <x:c r="C9" s="42" t="str">
        <x:v>No edible-style serving-size requirement</x:v>
      </x:c>
      <x:c r="D9" s="42" t="str">
        <x:v>Total THC and Total CBD required</x:v>
      </x:c>
      <x:c r="E9" s="30" t="str">
        <x:v>Cannabis mix has its own labeling subsection; preserve licensed product type</x:v>
      </x:c>
      <x:c r="F9" s="30" t="str">
        <x:v>NIST Handbook 130, 2016 Edition via chapter 16-662 WAC</x:v>
      </x:c>
      <x:c r="G9" s="30" t="str">
        <x:v>314-55-105(6)(c)-(d)</x:v>
      </x:c>
      <x:c r="H9" s="30" t="str">
        <x:v>https://app.leg.wa.gov/wac/default.aspx?cite=314-55-105</x:v>
      </x:c>
      <x:c r="I9" s="30" t="str">
        <x:v>Useful where a preroll SKU is sold from cannabis mix rather than whole-flower designation.</x:v>
      </x:c>
    </x:row>
    <x:row r="10">
      <x:c r="A10" s="30" t="str">
        <x:v>Cannabis concentrate</x:v>
      </x:c>
      <x:c r="B10" s="42" t="str">
        <x:v>Net weight in ounces and grams or volume as applicable</x:v>
      </x:c>
      <x:c r="C10" s="42" t="str">
        <x:v>No edible-style serving-size requirement</x:v>
      </x:c>
      <x:c r="D10" s="42" t="str">
        <x:v>Total THC and Total CBD required</x:v>
      </x:c>
      <x:c r="E10" s="30" t="str">
        <x:v>If solvents were used, extraction method and solvents/gases must be disclosed; additives/terpenes/other substances must also be listed</x:v>
      </x:c>
      <x:c r="F10" s="30" t="str">
        <x:v>NIST/quantity declaration rules apply as applicable</x:v>
      </x:c>
      <x:c r="G10" s="30" t="str">
        <x:v>314-55-105(2)(e)</x:v>
      </x:c>
      <x:c r="H10" s="30" t="str">
        <x:v>https://app.leg.wa.gov/wac/default.aspx?cite=314-55-105</x:v>
      </x:c>
      <x:c r="I10" s="30" t="str">
        <x:v>Store net quantity, concentrate type, extraction method, and potency separately.</x:v>
      </x:c>
    </x:row>
    <x:row r="11">
      <x:c r="A11" s="30" t="str">
        <x:v>Infused pre-roll</x:v>
      </x:c>
      <x:c r="B11" s="42" t="str">
        <x:v>Use labeled net weight in ounces and grams or volume as applicable</x:v>
      </x:c>
      <x:c r="C11" s="42" t="str">
        <x:v>No edible-style serving-size requirement</x:v>
      </x:c>
      <x:c r="D11" s="42" t="str">
        <x:v>Total THC and Total CBD required under the applicable licensed product classification</x:v>
      </x:c>
      <x:c r="E11" s="30" t="str">
        <x:v>LCB CCRS categorizes infused pre-rolls as concentrates for reporting and limit purposes</x:v>
      </x:c>
      <x:c r="F11" s="30" t="str">
        <x:v>Preserve processor label / CCRS classification</x:v>
      </x:c>
      <x:c r="G11" s="30" t="str">
        <x:v>314-55-095 + LCB CCRS FAQ</x:v>
      </x:c>
      <x:c r="H11" s="30" t="str">
        <x:v>https://lcb.wa.gov/ccrs/faq</x:v>
      </x:c>
      <x:c r="I11" s="30" t="str">
        <x:v>For app logic, treat infused pre-rolls as concentrate-classified unless the live inventory source says otherwise.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2" hidden="0" customWidth="1"/>
    <x:col min="5" max="5" width="18" hidden="0" customWidth="1"/>
    <x:col min="6" max="6" width="25" hidden="0" customWidth="1"/>
  </x:cols>
  <x:sheetData>
    <x:row r="1" ht="28" customHeight="1">
      <x:c r="A1" s="5" t="str">
        <x:v>Common Net Quantity Conversions for Catalog Normalization</x:v>
      </x:c>
      <x:c r="B1" s="5"/>
      <x:c r="C1" s="5"/>
      <x:c r="D1" s="5"/>
      <x:c r="E1" s="5"/>
      <x:c r="F1" s="5"/>
    </x:row>
    <x:row r="2" ht="40" customHeight="1">
      <x:c r="A2" s="13" t="str">
        <x:v>Use these for normalization/search/display support only. The processor/manufacturer's labeled net quantity should remain the authoritative regulatory declaration.</x:v>
      </x:c>
      <x:c r="B2" s="13"/>
      <x:c r="C2" s="13"/>
      <x:c r="D2" s="13"/>
      <x:c r="E2" s="13"/>
      <x:c r="F2" s="13"/>
    </x:row>
    <x:row r="4">
      <x:c r="A4" s="22" t="str">
        <x:v>Input Value</x:v>
      </x:c>
      <x:c r="B4" s="22" t="str">
        <x:v>Input Unit</x:v>
      </x:c>
      <x:c r="C4" s="22" t="str">
        <x:v>Exact Metric</x:v>
      </x:c>
      <x:c r="D4" s="22" t="str">
        <x:v>Metric Unit</x:v>
      </x:c>
      <x:c r="E4" s="22" t="str">
        <x:v>Rounded UI Value</x:v>
      </x:c>
      <x:c r="F4" s="22" t="str">
        <x:v>Example Display</x:v>
      </x:c>
    </x:row>
    <x:row r="5">
      <x:c r="A5" s="34" t="n">
        <x:v>0.25</x:v>
      </x:c>
      <x:c r="B5" s="30" t="str">
        <x:v>oz</x:v>
      </x:c>
      <x:c r="C5" s="36" t="n">
        <x:f>A5*28.349523125</x:f>
        <x:v>7.08738078125</x:v>
      </x:c>
      <x:c r="D5" s="30" t="str">
        <x:v>g</x:v>
      </x:c>
      <x:c r="E5" s="38" t="n">
        <x:f>ROUND(C5,1)</x:f>
        <x:v>7.1</x:v>
      </x:c>
      <x:c r="F5" s="30" t="str">
        <x:f>TEXT(A5,"0.##")&amp;" oz ("&amp;TEXT(E5,"0.#")&amp;" g)"</x:f>
        <x:v>0.25 oz (7.1 g)</x:v>
      </x:c>
    </x:row>
    <x:row r="6">
      <x:c r="A6" s="34" t="n">
        <x:v>0.5</x:v>
      </x:c>
      <x:c r="B6" s="30" t="str">
        <x:v>oz</x:v>
      </x:c>
      <x:c r="C6" s="36" t="n">
        <x:f>A6*28.349523125</x:f>
        <x:v>14.1747615625</x:v>
      </x:c>
      <x:c r="D6" s="30" t="str">
        <x:v>g</x:v>
      </x:c>
      <x:c r="E6" s="38" t="n">
        <x:f>ROUND(C6,1)</x:f>
        <x:v>14.2</x:v>
      </x:c>
      <x:c r="F6" s="30" t="str">
        <x:f>TEXT(A6,"0.##")&amp;" oz ("&amp;TEXT(E6,"0.#")&amp;" g)"</x:f>
        <x:v>0.5 oz (14.2 g)</x:v>
      </x:c>
    </x:row>
    <x:row r="7">
      <x:c r="A7" s="34" t="n">
        <x:v>1</x:v>
      </x:c>
      <x:c r="B7" s="30" t="str">
        <x:v>oz</x:v>
      </x:c>
      <x:c r="C7" s="36" t="n">
        <x:f>A7*28.349523125</x:f>
        <x:v>28.349523125</x:v>
      </x:c>
      <x:c r="D7" s="30" t="str">
        <x:v>g</x:v>
      </x:c>
      <x:c r="E7" s="38" t="n">
        <x:f>ROUND(C7,1)</x:f>
        <x:v>28.3</x:v>
      </x:c>
      <x:c r="F7" s="30" t="str">
        <x:f>TEXT(A7,"0.##")&amp;" oz ("&amp;TEXT(E7,"0.#")&amp;" g)"</x:f>
        <x:v>1. oz (28.3 g)</x:v>
      </x:c>
    </x:row>
    <x:row r="8">
      <x:c r="A8" s="34" t="n">
        <x:v>1.4</x:v>
      </x:c>
      <x:c r="B8" s="30" t="str">
        <x:v>oz</x:v>
      </x:c>
      <x:c r="C8" s="36" t="n">
        <x:f>A8*28.349523125</x:f>
        <x:v>39.689332375</x:v>
      </x:c>
      <x:c r="D8" s="30" t="str">
        <x:v>g</x:v>
      </x:c>
      <x:c r="E8" s="38" t="n">
        <x:f>ROUND(C8,1)</x:f>
        <x:v>39.7</x:v>
      </x:c>
      <x:c r="F8" s="30" t="str">
        <x:f>TEXT(A8,"0.##")&amp;" oz ("&amp;TEXT(E8,"0.#")&amp;" g)"</x:f>
        <x:v>1.4 oz (39.7 g)</x:v>
      </x:c>
    </x:row>
    <x:row r="9">
      <x:c r="A9" s="34" t="n">
        <x:v>1.5</x:v>
      </x:c>
      <x:c r="B9" s="30" t="str">
        <x:v>oz</x:v>
      </x:c>
      <x:c r="C9" s="36" t="n">
        <x:f>A9*28.349523125</x:f>
        <x:v>42.5242846875</x:v>
      </x:c>
      <x:c r="D9" s="30" t="str">
        <x:v>g</x:v>
      </x:c>
      <x:c r="E9" s="38" t="n">
        <x:f>ROUND(C9,1)</x:f>
        <x:v>42.5</x:v>
      </x:c>
      <x:c r="F9" s="30" t="str">
        <x:f>TEXT(A9,"0.##")&amp;" oz ("&amp;TEXT(E9,"0.#")&amp;" g)"</x:f>
        <x:v>1.5 oz (42.5 g)</x:v>
      </x:c>
    </x:row>
    <x:row r="10">
      <x:c r="A10" s="34" t="n">
        <x:v>2</x:v>
      </x:c>
      <x:c r="B10" s="30" t="str">
        <x:v>oz</x:v>
      </x:c>
      <x:c r="C10" s="36" t="n">
        <x:f>A10*28.349523125</x:f>
        <x:v>56.69904625</x:v>
      </x:c>
      <x:c r="D10" s="30" t="str">
        <x:v>g</x:v>
      </x:c>
      <x:c r="E10" s="38" t="n">
        <x:f>ROUND(C10,1)</x:f>
        <x:v>56.7</x:v>
      </x:c>
      <x:c r="F10" s="30" t="str">
        <x:f>TEXT(A10,"0.##")&amp;" oz ("&amp;TEXT(E10,"0.#")&amp;" g)"</x:f>
        <x:v>2. oz (56.7 g)</x:v>
      </x:c>
    </x:row>
    <x:row r="11">
      <x:c r="A11" s="34" t="n">
        <x:v>3</x:v>
      </x:c>
      <x:c r="B11" s="30" t="str">
        <x:v>oz</x:v>
      </x:c>
      <x:c r="C11" s="36" t="n">
        <x:f>A11*28.349523125</x:f>
        <x:v>85.048569375</x:v>
      </x:c>
      <x:c r="D11" s="30" t="str">
        <x:v>g</x:v>
      </x:c>
      <x:c r="E11" s="38" t="n">
        <x:f>ROUND(C11,1)</x:f>
        <x:v>85</x:v>
      </x:c>
      <x:c r="F11" s="30" t="str">
        <x:f>TEXT(A11,"0.##")&amp;" oz ("&amp;TEXT(E11,"0.#")&amp;" g)"</x:f>
        <x:v>3. oz (85. g)</x:v>
      </x:c>
    </x:row>
    <x:row r="12">
      <x:c r="A12" s="34" t="n">
        <x:v>3.4</x:v>
      </x:c>
      <x:c r="B12" s="30" t="str">
        <x:v>oz</x:v>
      </x:c>
      <x:c r="C12" s="36" t="n">
        <x:f>A12*28.349523125</x:f>
        <x:v>96.388378625</x:v>
      </x:c>
      <x:c r="D12" s="30" t="str">
        <x:v>g</x:v>
      </x:c>
      <x:c r="E12" s="38" t="n">
        <x:f>ROUND(C12,1)</x:f>
        <x:v>96.4</x:v>
      </x:c>
      <x:c r="F12" s="30" t="str">
        <x:f>TEXT(A12,"0.##")&amp;" oz ("&amp;TEXT(E12,"0.#")&amp;" g)"</x:f>
        <x:v>3.4 oz (96.4 g)</x:v>
      </x:c>
    </x:row>
    <x:row r="13">
      <x:c r="A13" s="34" t="n">
        <x:v>4</x:v>
      </x:c>
      <x:c r="B13" s="30" t="str">
        <x:v>oz</x:v>
      </x:c>
      <x:c r="C13" s="36" t="n">
        <x:f>A13*28.349523125</x:f>
        <x:v>113.3980925</x:v>
      </x:c>
      <x:c r="D13" s="30" t="str">
        <x:v>g</x:v>
      </x:c>
      <x:c r="E13" s="38" t="n">
        <x:f>ROUND(C13,1)</x:f>
        <x:v>113.4</x:v>
      </x:c>
      <x:c r="F13" s="30" t="str">
        <x:f>TEXT(A13,"0.##")&amp;" oz ("&amp;TEXT(E13,"0.#")&amp;" g)"</x:f>
        <x:v>4. oz (113.4 g)</x:v>
      </x:c>
    </x:row>
    <x:row r="14">
      <x:c r="A14" s="34" t="n">
        <x:v>8</x:v>
      </x:c>
      <x:c r="B14" s="30" t="str">
        <x:v>oz</x:v>
      </x:c>
      <x:c r="C14" s="36" t="n">
        <x:f>A14*28.349523125</x:f>
        <x:v>226.796185</x:v>
      </x:c>
      <x:c r="D14" s="30" t="str">
        <x:v>g</x:v>
      </x:c>
      <x:c r="E14" s="38" t="n">
        <x:f>ROUND(C14,1)</x:f>
        <x:v>226.8</x:v>
      </x:c>
      <x:c r="F14" s="30" t="str">
        <x:f>TEXT(A14,"0.##")&amp;" oz ("&amp;TEXT(E14,"0.#")&amp;" g)"</x:f>
        <x:v>8. oz (226.8 g)</x:v>
      </x:c>
    </x:row>
    <x:row r="15">
      <x:c r="A15" s="34" t="n">
        <x:v>16</x:v>
      </x:c>
      <x:c r="B15" s="30" t="str">
        <x:v>oz</x:v>
      </x:c>
      <x:c r="C15" s="36" t="n">
        <x:f>A15*28.349523125</x:f>
        <x:v>453.59237</x:v>
      </x:c>
      <x:c r="D15" s="30" t="str">
        <x:v>g</x:v>
      </x:c>
      <x:c r="E15" s="38" t="n">
        <x:f>ROUND(C15,1)</x:f>
        <x:v>453.6</x:v>
      </x:c>
      <x:c r="F15" s="30" t="str">
        <x:f>TEXT(A15,"0.##")&amp;" oz ("&amp;TEXT(E15,"0.#")&amp;" g)"</x:f>
        <x:v>16. oz (453.6 g)</x:v>
      </x:c>
    </x:row>
    <x:row r="16">
      <x:c r="A16" s="34" t="n">
        <x:v>1</x:v>
      </x:c>
      <x:c r="B16" s="30" t="str">
        <x:v>fl oz</x:v>
      </x:c>
      <x:c r="C16" s="36" t="n">
        <x:f>A16*29.5735295625</x:f>
        <x:v>29.5735295625</x:v>
      </x:c>
      <x:c r="D16" s="30" t="str">
        <x:v>mL</x:v>
      </x:c>
      <x:c r="E16" s="38" t="n">
        <x:f>ROUND(C16,0)</x:f>
        <x:v>30</x:v>
      </x:c>
      <x:c r="F16" s="30" t="str">
        <x:f>TEXT(A16,"0.##")&amp;" fl oz ("&amp;TEXT(E16,"0")&amp;" mL)"</x:f>
        <x:v>1. fl oz (30 mL)</x:v>
      </x:c>
    </x:row>
    <x:row r="17">
      <x:c r="A17" s="34" t="n">
        <x:v>2</x:v>
      </x:c>
      <x:c r="B17" s="30" t="str">
        <x:v>fl oz</x:v>
      </x:c>
      <x:c r="C17" s="36" t="n">
        <x:f>A17*29.5735295625</x:f>
        <x:v>59.147059125</x:v>
      </x:c>
      <x:c r="D17" s="30" t="str">
        <x:v>mL</x:v>
      </x:c>
      <x:c r="E17" s="38" t="n">
        <x:f>ROUND(C17,0)</x:f>
        <x:v>59</x:v>
      </x:c>
      <x:c r="F17" s="30" t="str">
        <x:f>TEXT(A17,"0.##")&amp;" fl oz ("&amp;TEXT(E17,"0")&amp;" mL)"</x:f>
        <x:v>2. fl oz (59 mL)</x:v>
      </x:c>
    </x:row>
    <x:row r="18">
      <x:c r="A18" s="34" t="n">
        <x:v>4</x:v>
      </x:c>
      <x:c r="B18" s="30" t="str">
        <x:v>fl oz</x:v>
      </x:c>
      <x:c r="C18" s="36" t="n">
        <x:f>A18*29.5735295625</x:f>
        <x:v>118.29411825</x:v>
      </x:c>
      <x:c r="D18" s="30" t="str">
        <x:v>mL</x:v>
      </x:c>
      <x:c r="E18" s="38" t="n">
        <x:f>ROUND(C18,0)</x:f>
        <x:v>118</x:v>
      </x:c>
      <x:c r="F18" s="30" t="str">
        <x:f>TEXT(A18,"0.##")&amp;" fl oz ("&amp;TEXT(E18,"0")&amp;" mL)"</x:f>
        <x:v>4. fl oz (118 mL)</x:v>
      </x:c>
    </x:row>
    <x:row r="19">
      <x:c r="A19" s="34" t="n">
        <x:v>6.7</x:v>
      </x:c>
      <x:c r="B19" s="30" t="str">
        <x:v>fl oz</x:v>
      </x:c>
      <x:c r="C19" s="36" t="n">
        <x:f>A19*29.5735295625</x:f>
        <x:v>198.14264806875</x:v>
      </x:c>
      <x:c r="D19" s="30" t="str">
        <x:v>mL</x:v>
      </x:c>
      <x:c r="E19" s="38" t="n">
        <x:f>ROUND(C19,0)</x:f>
        <x:v>198</x:v>
      </x:c>
      <x:c r="F19" s="30" t="str">
        <x:f>TEXT(A19,"0.##")&amp;" fl oz ("&amp;TEXT(E19,"0")&amp;" mL)"</x:f>
        <x:v>6.7 fl oz (198 mL)</x:v>
      </x:c>
    </x:row>
    <x:row r="20">
      <x:c r="A20" s="34" t="n">
        <x:v>8</x:v>
      </x:c>
      <x:c r="B20" s="30" t="str">
        <x:v>fl oz</x:v>
      </x:c>
      <x:c r="C20" s="36" t="n">
        <x:f>A20*29.5735295625</x:f>
        <x:v>236.5882365</x:v>
      </x:c>
      <x:c r="D20" s="30" t="str">
        <x:v>mL</x:v>
      </x:c>
      <x:c r="E20" s="38" t="n">
        <x:f>ROUND(C20,0)</x:f>
        <x:v>237</x:v>
      </x:c>
      <x:c r="F20" s="30" t="str">
        <x:f>TEXT(A20,"0.##")&amp;" fl oz ("&amp;TEXT(E20,"0")&amp;" mL)"</x:f>
        <x:v>8. fl oz (237 mL)</x:v>
      </x:c>
    </x:row>
    <x:row r="21">
      <x:c r="A21" s="34" t="n">
        <x:v>12</x:v>
      </x:c>
      <x:c r="B21" s="30" t="str">
        <x:v>fl oz</x:v>
      </x:c>
      <x:c r="C21" s="36" t="n">
        <x:f>A21*29.5735295625</x:f>
        <x:v>354.88235475</x:v>
      </x:c>
      <x:c r="D21" s="30" t="str">
        <x:v>mL</x:v>
      </x:c>
      <x:c r="E21" s="38" t="n">
        <x:f>ROUND(C21,0)</x:f>
        <x:v>355</x:v>
      </x:c>
      <x:c r="F21" s="30" t="str">
        <x:f>TEXT(A21,"0.##")&amp;" fl oz ("&amp;TEXT(E21,"0")&amp;" mL)"</x:f>
        <x:v>12. fl oz (355 mL)</x:v>
      </x:c>
    </x:row>
    <x:row r="22">
      <x:c r="A22" s="34" t="n">
        <x:v>16</x:v>
      </x:c>
      <x:c r="B22" s="30" t="str">
        <x:v>fl oz</x:v>
      </x:c>
      <x:c r="C22" s="36" t="n">
        <x:f>A22*29.5735295625</x:f>
        <x:v>473.176473</x:v>
      </x:c>
      <x:c r="D22" s="30" t="str">
        <x:v>mL</x:v>
      </x:c>
      <x:c r="E22" s="38" t="n">
        <x:f>ROUND(C22,0)</x:f>
        <x:v>473</x:v>
      </x:c>
      <x:c r="F22" s="30" t="str">
        <x:f>TEXT(A22,"0.##")&amp;" fl oz ("&amp;TEXT(E22,"0")&amp;" mL)"</x:f>
        <x:v>16. fl oz (473 mL)</x:v>
      </x:c>
    </x:row>
    <x:row r="23">
      <x:c r="A23" s="34" t="n">
        <x:v>72</x:v>
      </x:c>
      <x:c r="B23" s="30" t="str">
        <x:v>fl oz</x:v>
      </x:c>
      <x:c r="C23" s="36" t="n">
        <x:f>A23*29.5735295625</x:f>
        <x:v>2129.2941284999997</x:v>
      </x:c>
      <x:c r="D23" s="30" t="str">
        <x:v>mL</x:v>
      </x:c>
      <x:c r="E23" s="38" t="n">
        <x:f>ROUND(C23,0)</x:f>
        <x:v>2129</x:v>
      </x:c>
      <x:c r="F23" s="30" t="str">
        <x:f>TEXT(A23,"0.##")&amp;" fl oz ("&amp;TEXT(E23,"0")&amp;" mL)"</x:f>
        <x:v>72. fl oz (2129 mL)</x:v>
      </x:c>
    </x:row>
    <x:row r="25" ht="24" customHeight="1">
      <x:c r="A25" s="47" t="str">
        <x:v>Common Flower / Pre-Roll / Concentrate Package Weights</x:v>
      </x:c>
      <x:c r="B25" s="47"/>
      <x:c r="C25" s="47"/>
      <x:c r="D25" s="47"/>
      <x:c r="E25" s="47"/>
      <x:c r="F25" s="47"/>
    </x:row>
    <x:row r="27" ht="32" customHeight="1">
      <x:c r="A27" s="52" t="str">
        <x:v>Catalog Example</x:v>
      </x:c>
      <x:c r="B27" s="52" t="str">
        <x:v>Package Weight (g)</x:v>
      </x:c>
      <x:c r="C27" s="52" t="str">
        <x:v>Approx. oz</x:v>
      </x:c>
      <x:c r="D27" s="52" t="str">
        <x:v>Pack Count</x:v>
      </x:c>
      <x:c r="E27" s="52" t="str">
        <x:v>Unit Weight (g)</x:v>
      </x:c>
      <x:c r="F27" s="52" t="str">
        <x:v>Compliance / UX Note</x:v>
      </x:c>
    </x:row>
    <x:row r="28">
      <x:c r="A28" s="30" t="str">
        <x:v>Flower eighth</x:v>
      </x:c>
      <x:c r="B28" s="30" t="n">
        <x:v>3.5</x:v>
      </x:c>
      <x:c r="C28" s="36" t="n">
        <x:f>B28/28.349523125</x:f>
        <x:v>0.12345886682353144</x:v>
      </x:c>
      <x:c r="D28" s="30"/>
      <x:c r="E28" s="30"/>
      <x:c r="F28" s="30" t="str">
        <x:v>Common flower SKU; aggregate toward 1 oz adult-use transaction limit.</x:v>
      </x:c>
    </x:row>
    <x:row r="29">
      <x:c r="A29" s="30" t="str">
        <x:v>Flower quarter</x:v>
      </x:c>
      <x:c r="B29" s="30" t="n">
        <x:v>7</x:v>
      </x:c>
      <x:c r="C29" s="36" t="n">
        <x:f>B29/28.349523125</x:f>
        <x:v>0.24691773364706288</x:v>
      </x:c>
      <x:c r="D29" s="30"/>
      <x:c r="E29" s="30"/>
      <x:c r="F29" s="30" t="str">
        <x:v>Common flower SKU; aggregate toward 1 oz adult-use transaction limit.</x:v>
      </x:c>
    </x:row>
    <x:row r="30">
      <x:c r="A30" s="30" t="str">
        <x:v>Flower half</x:v>
      </x:c>
      <x:c r="B30" s="30" t="n">
        <x:v>14</x:v>
      </x:c>
      <x:c r="C30" s="36" t="n">
        <x:f>B30/28.349523125</x:f>
        <x:v>0.49383546729412575</x:v>
      </x:c>
      <x:c r="D30" s="30"/>
      <x:c r="E30" s="30"/>
      <x:c r="F30" s="30" t="str">
        <x:v>Common flower SKU; aggregate toward 1 oz adult-use transaction limit.</x:v>
      </x:c>
    </x:row>
    <x:row r="31">
      <x:c r="A31" s="30" t="str">
        <x:v>Flower ounce</x:v>
      </x:c>
      <x:c r="B31" s="30" t="n">
        <x:v>28</x:v>
      </x:c>
      <x:c r="C31" s="36" t="n">
        <x:f>B31/28.349523125</x:f>
        <x:v>0.9876709345882515</x:v>
      </x:c>
      <x:c r="D31" s="30"/>
      <x:c r="E31" s="30"/>
      <x:c r="F31" s="30" t="str">
        <x:v>Approximately 1 oz; transaction logic should rely on regulated weight data rather than a marketing name.</x:v>
      </x:c>
    </x:row>
    <x:row r="32">
      <x:c r="A32" s="30" t="str">
        <x:v>Pre-roll single</x:v>
      </x:c>
      <x:c r="B32" s="30" t="n">
        <x:v>0.5</x:v>
      </x:c>
      <x:c r="C32" s="36" t="n">
        <x:f>B32/28.349523125</x:f>
        <x:v>0.017636980974790207</x:v>
      </x:c>
      <x:c r="D32" s="30" t="n">
        <x:v>1</x:v>
      </x:c>
      <x:c r="E32" s="30" t="n">
        <x:v>0.5</x:v>
      </x:c>
      <x:c r="F32" s="30" t="str">
        <x:v>Plain flower version counts toward useable-cannabis limit.</x:v>
      </x:c>
    </x:row>
    <x:row r="33">
      <x:c r="A33" s="30" t="str">
        <x:v>Pre-roll single</x:v>
      </x:c>
      <x:c r="B33" s="30" t="n">
        <x:v>0.75</x:v>
      </x:c>
      <x:c r="C33" s="36" t="n">
        <x:f>B33/28.349523125</x:f>
        <x:v>0.02645547146218531</x:v>
      </x:c>
      <x:c r="D33" s="30" t="n">
        <x:v>1</x:v>
      </x:c>
      <x:c r="E33" s="30" t="n">
        <x:v>0.75</x:v>
      </x:c>
      <x:c r="F33" s="30" t="str">
        <x:v>Plain flower version counts toward useable-cannabis limit.</x:v>
      </x:c>
    </x:row>
    <x:row r="34">
      <x:c r="A34" s="30" t="str">
        <x:v>Pre-roll single</x:v>
      </x:c>
      <x:c r="B34" s="30" t="n">
        <x:v>1</x:v>
      </x:c>
      <x:c r="C34" s="36" t="n">
        <x:f>B34/28.349523125</x:f>
        <x:v>0.035273961949580414</x:v>
      </x:c>
      <x:c r="D34" s="30" t="n">
        <x:v>1</x:v>
      </x:c>
      <x:c r="E34" s="30" t="n">
        <x:v>1</x:v>
      </x:c>
      <x:c r="F34" s="30" t="str">
        <x:v>Plain flower: useable cannabis. Infused: concentrate-classified in CCRS.</x:v>
      </x:c>
    </x:row>
    <x:row r="35">
      <x:c r="A35" s="30" t="str">
        <x:v>Pre-roll 2-pack</x:v>
      </x:c>
      <x:c r="B35" s="30" t="n">
        <x:v>1</x:v>
      </x:c>
      <x:c r="C35" s="36" t="n">
        <x:f>B35/28.349523125</x:f>
        <x:v>0.035273961949580414</x:v>
      </x:c>
      <x:c r="D35" s="30" t="n">
        <x:v>2</x:v>
      </x:c>
      <x:c r="E35" s="30" t="n">
        <x:v>0.5</x:v>
      </x:c>
      <x:c r="F35" s="30" t="str">
        <x:v>Store both total package weight and unit weight.</x:v>
      </x:c>
    </x:row>
    <x:row r="36">
      <x:c r="A36" s="30" t="str">
        <x:v>Pre-roll 3-pack</x:v>
      </x:c>
      <x:c r="B36" s="30" t="n">
        <x:v>1.5</x:v>
      </x:c>
      <x:c r="C36" s="36" t="n">
        <x:f>B36/28.349523125</x:f>
        <x:v>0.05291094292437062</x:v>
      </x:c>
      <x:c r="D36" s="30" t="n">
        <x:v>3</x:v>
      </x:c>
      <x:c r="E36" s="30" t="n">
        <x:v>0.5</x:v>
      </x:c>
      <x:c r="F36" s="30" t="str">
        <x:v>Store both total package weight and unit weight.</x:v>
      </x:c>
    </x:row>
    <x:row r="37">
      <x:c r="A37" s="30" t="str">
        <x:v>Pre-roll 5-pack</x:v>
      </x:c>
      <x:c r="B37" s="30" t="n">
        <x:v>2.5</x:v>
      </x:c>
      <x:c r="C37" s="36" t="n">
        <x:f>B37/28.349523125</x:f>
        <x:v>0.08818490487395103</x:v>
      </x:c>
      <x:c r="D37" s="30" t="n">
        <x:v>5</x:v>
      </x:c>
      <x:c r="E37" s="30" t="n">
        <x:v>0.5</x:v>
      </x:c>
      <x:c r="F37" s="30" t="str">
        <x:v>Plain flower version aggregates toward useable-cannabis limit.</x:v>
      </x:c>
    </x:row>
    <x:row r="38">
      <x:c r="A38" s="30" t="str">
        <x:v>Concentrate unit</x:v>
      </x:c>
      <x:c r="B38" s="30" t="n">
        <x:v>0.5</x:v>
      </x:c>
      <x:c r="C38" s="36" t="n">
        <x:f>B38/28.349523125</x:f>
        <x:v>0.017636980974790207</x:v>
      </x:c>
      <x:c r="D38" s="30" t="n">
        <x:v>1</x:v>
      </x:c>
      <x:c r="E38" s="30" t="n">
        <x:v>0.5</x:v>
      </x:c>
      <x:c r="F38" s="30" t="str">
        <x:v>Concentrate-classified unit; below 1 g unit maximum.</x:v>
      </x:c>
    </x:row>
    <x:row r="39">
      <x:c r="A39" s="30" t="str">
        <x:v>Concentrate unit</x:v>
      </x:c>
      <x:c r="B39" s="30" t="n">
        <x:v>1</x:v>
      </x:c>
      <x:c r="C39" s="36" t="n">
        <x:f>B39/28.349523125</x:f>
        <x:v>0.035273961949580414</x:v>
      </x:c>
      <x:c r="D39" s="30" t="n">
        <x:v>1</x:v>
      </x:c>
      <x:c r="E39" s="30" t="n">
        <x:v>1</x:v>
      </x:c>
      <x:c r="F39" s="30" t="str">
        <x:v>Maximum single concentrate unit under WAC 314-55-095.</x:v>
      </x:c>
    </x:row>
  </x:sheetData>
  <x:mergeCells>
    <x:mergeCell ref="A1:F1"/>
    <x:mergeCell ref="A2:F2"/>
    <x:mergeCell ref="A25:F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28" hidden="0" customWidth="1"/>
    <x:col min="4" max="4" width="58" hidden="0" customWidth="1"/>
    <x:col min="5" max="5" width="14" hidden="0" customWidth="1"/>
  </x:cols>
  <x:sheetData>
    <x:row r="1">
      <x:c r="A1" s="22" t="str">
        <x:v>Source</x:v>
      </x:c>
      <x:c r="B1" s="22" t="str">
        <x:v>Topic</x:v>
      </x:c>
      <x:c r="C1" s="22" t="str">
        <x:v>Citation / Rule</x:v>
      </x:c>
      <x:c r="D1" s="22" t="str">
        <x:v>URL</x:v>
      </x:c>
      <x:c r="E1" s="22" t="str">
        <x:v>Checked</x:v>
      </x:c>
    </x:row>
    <x:row r="2">
      <x:c r="A2" s="30" t="str">
        <x:v>Washington Legislature</x:v>
      </x:c>
      <x:c r="B2" s="30" t="str">
        <x:v>Serving/package/transaction limits</x:v>
      </x:c>
      <x:c r="C2" s="30" t="str">
        <x:v>WAC 314-55-095</x:v>
      </x:c>
      <x:c r="D2" s="30" t="str">
        <x:v>https://app.leg.wa.gov/wac/default.aspx?cite=314-55-095</x:v>
      </x:c>
      <x:c r="E2" s="30" t="str">
        <x:v>2026-09-22</x:v>
      </x:c>
    </x:row>
    <x:row r="3">
      <x:c r="A3" s="30" t="str">
        <x:v>Washington Legislature</x:v>
      </x:c>
      <x:c r="B3" s="30" t="str">
        <x:v>Packaging and labeling</x:v>
      </x:c>
      <x:c r="C3" s="30" t="str">
        <x:v>WAC 314-55-105</x:v>
      </x:c>
      <x:c r="D3" s="30" t="str">
        <x:v>https://app.leg.wa.gov/wac/default.aspx?cite=314-55-105</x:v>
      </x:c>
      <x:c r="E3" s="30" t="str">
        <x:v>2026-09-22</x:v>
      </x:c>
    </x:row>
    <x:row r="4">
      <x:c r="A4" s="30" t="str">
        <x:v>Washington Legislature</x:v>
      </x:c>
      <x:c r="B4" s="30" t="str">
        <x:v>Cannabinoid testing / total THC and CBD calculations</x:v>
      </x:c>
      <x:c r="C4" s="30" t="str">
        <x:v>WAC 314-55-102</x:v>
      </x:c>
      <x:c r="D4" s="30" t="str">
        <x:v>https://app.leg.wa.gov/wac/default.aspx?cite=314-55-102</x:v>
      </x:c>
      <x:c r="E4" s="30" t="str">
        <x:v>2026-09-22</x:v>
      </x:c>
    </x:row>
    <x:row r="5">
      <x:c r="A5" s="30" t="str">
        <x:v>Washington Legislature / WSDA</x:v>
      </x:c>
      <x:c r="B5" s="30" t="str">
        <x:v>Weights &amp; measures standards adopted by Washington</x:v>
      </x:c>
      <x:c r="C5" s="30" t="str">
        <x:v>WAC 16-662-105</x:v>
      </x:c>
      <x:c r="D5" s="30" t="str">
        <x:v>https://app.leg.wa.gov/wac/default.aspx?cite=16-662-105</x:v>
      </x:c>
      <x:c r="E5" s="30" t="str">
        <x:v>2026-09-22</x:v>
      </x:c>
    </x:row>
    <x:row r="6">
      <x:c r="A6" s="30" t="str">
        <x:v>Washington Legislature</x:v>
      </x:c>
      <x:c r="B6" s="30" t="str">
        <x:v>Useable cannabis, concentrate, edible, topical transaction/serving limits</x:v>
      </x:c>
      <x:c r="C6" s="30" t="str">
        <x:v>WAC 314-55-095</x:v>
      </x:c>
      <x:c r="D6" s="30" t="str">
        <x:v>https://app.leg.wa.gov/wac/default.aspx?cite=314-55-095</x:v>
      </x:c>
      <x:c r="E6" s="30" t="str">
        <x:v>2026-09-22</x:v>
      </x:c>
    </x:row>
    <x:row r="7">
      <x:c r="A7" s="30" t="str">
        <x:v>Washington Legislature</x:v>
      </x:c>
      <x:c r="B7" s="30" t="str">
        <x:v>Flower/useable cannabis, cannabis mix, concentrate labeling</x:v>
      </x:c>
      <x:c r="C7" s="30" t="str">
        <x:v>WAC 314-55-105</x:v>
      </x:c>
      <x:c r="D7" s="30" t="str">
        <x:v>https://app.leg.wa.gov/wac/default.aspx?cite=314-55-105</x:v>
      </x:c>
      <x:c r="E7" s="30" t="str">
        <x:v>2026-09-22</x:v>
      </x:c>
    </x:row>
    <x:row r="8">
      <x:c r="A8" s="30" t="str">
        <x:v>Washington Legislature</x:v>
      </x:c>
      <x:c r="B8" s="30" t="str">
        <x:v>Cannabis mix / product definitions</x:v>
      </x:c>
      <x:c r="C8" s="30" t="str">
        <x:v>WAC 314-55-010</x:v>
      </x:c>
      <x:c r="D8" s="30" t="str">
        <x:v>https://app.leg.wa.gov/wac/default.aspx?cite=314-55-010</x:v>
      </x:c>
      <x:c r="E8" s="30" t="str">
        <x:v>2026-09-22</x:v>
      </x:c>
    </x:row>
    <x:row r="9">
      <x:c r="A9" s="30" t="str">
        <x:v>Washington State Liquor and Cannabis Board</x:v>
      </x:c>
      <x:c r="B9" s="30" t="str">
        <x:v>Infused pre-roll CCRS classification</x:v>
      </x:c>
      <x:c r="C9" s="30" t="str">
        <x:v>CCRS FAQ</x:v>
      </x:c>
      <x:c r="D9" s="30" t="str">
        <x:v>https://lcb.wa.gov/ccrs/faq</x:v>
      </x:c>
      <x:c r="E9" s="30" t="str">
        <x:v>2026-09-22</x:v>
      </x:c>
    </x:row>
    <x:row r="10">
      <x:c r="A10" s="30" t="str">
        <x:v>Washington State Liquor and Cannabis Board</x:v>
      </x:c>
      <x:c r="B10" s="30" t="str">
        <x:v>Consumer product-type overview</x:v>
      </x:c>
      <x:c r="C10" s="30" t="str">
        <x:v>Types of Products</x:v>
      </x:c>
      <x:c r="D10" s="30" t="str">
        <x:v>https://lcb.wa.gov/education/types_of_products</x:v>
      </x:c>
      <x:c r="E10" s="30" t="str">
        <x:v>2026-09-22</x:v>
      </x:c>
    </x:row>
  </x:sheetData>
  <x:pageMargins left="0.7" right="0.7" top="0.75" bottom="0.75" header="0.3" footer="0.3"/>
</x:worksheet>
</file>