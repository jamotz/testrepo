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62f267799f4d3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dibles" sheetId="1" r:id="R4ab345fb453549f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0.0"/>
  </x:numFmts>
  <x:fonts count="5">
    <x:font>
      <x:sz val="11"/>
      <x:color theme="1"/>
      <x:name val="Calibri"/>
    </x:font>
    <x:font>
      <x:b/>
    </x:font>
    <x:font>
      <x:b/>
      <x:color rgb="FFFFFFFF"/>
    </x:font>
    <x:font>
      <x:b/>
      <x:sz val="11"/>
      <x:color rgb="FFFFFFFF"/>
      <x:name val="Calibri"/>
    </x:font>
    <x:font>
      <x:sz val="11"/>
      <x:color rgb="FF000000"/>
      <x:name val="Calibri"/>
    </x:font>
  </x:fonts>
  <x:fills count="9">
    <x:fill>
      <x:patternFill patternType="none"/>
    </x:fill>
    <x:fill>
      <x:patternFill patternType="gray125"/>
    </x:fill>
    <x:fill>
      <x:patternFill patternType="solid">
        <x:fgColor rgb="FF333333"/>
      </x:patternFill>
    </x:fill>
    <x:fill>
      <x:patternFill patternType="solid">
        <x:fgColor rgb="FFF1601C"/>
      </x:patternFill>
    </x:fill>
    <x:fill>
      <x:patternFill patternType="solid">
        <x:fgColor rgb="FF333333"/>
      </x:patternFill>
    </x:fill>
    <x:fill>
      <x:patternFill patternType="solid">
        <x:fgColor rgb="FFF1601C"/>
      </x:patternFill>
    </x:fill>
    <x:fill>
      <x:patternFill patternType="solid">
        <x:fgColor rgb="FFFFFFFF"/>
      </x:patternFill>
    </x:fill>
    <x:fill>
      <x:patternFill patternType="solid">
        <x:fgColor rgb="FF333333"/>
      </x:patternFill>
    </x:fill>
    <x:fill>
      <x:patternFill patternType="solid">
        <x:fgColor rgb="FFF1601C"/>
      </x:patternFill>
    </x:fill>
  </x:fills>
  <x:borders count="2">
    <x:border/>
    <x:border/>
  </x:borders>
  <x:cellStyleXfs count="1">
    <x:xf numFmtId="0" fontId="0" fillId="0" borderId="0"/>
  </x:cellStyleXfs>
  <x:cellXfs count="76">
    <x:xf numFmtId="0" fontId="0" fillId="0" borderId="0" xfId="0"/>
    <x:xf numFmtId="0" fontId="1" fillId="0" borderId="0" xfId="0"/>
    <x:xf numFmtId="0" fontId="0" fillId="0" borderId="1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top"/>
    </x:xf>
    <x:xf numFmtId="0" fontId="3" fillId="3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3" fillId="3" borderId="1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1" fillId="0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 vertical="center" wrapText="1"/>
    </x:xf>
    <x:xf numFmtId="0" fontId="3" fillId="5" borderId="0" xfId="0" applyNumberFormat="1" applyFont="1" applyFill="1" applyBorder="1" applyAlignment="1">
      <x:alignment vertical="top"/>
    </x:xf>
    <x:xf numFmtId="0" fontId="3" fillId="5" borderId="0" xfId="0" applyNumberFormat="1" applyFont="1" applyFill="1" applyBorder="1" applyAlignment="1">
      <x:alignment vertical="top" wrapText="1"/>
    </x:xf>
    <x:xf numFmtId="0" fontId="3" fillId="5" borderId="0" xfId="0" applyNumberFormat="1" applyFont="1" applyFill="1" applyBorder="1" applyAlignment="1">
      <x:alignment vertical="center"/>
    </x:xf>
    <x:xf numFmtId="0" fontId="3" fillId="5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 applyAlignment="1">
      <x:alignment vertical="top"/>
    </x:xf>
    <x:xf numFmtId="0" fontId="0" fillId="5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top"/>
    </x:xf>
    <x:xf numFmtId="0" fontId="0" fillId="3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/>
    </x:xf>
    <x:xf numFmtId="0" fontId="3" fillId="6" borderId="0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top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/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horizontal="center" wrapText="1"/>
    </x:xf>
    <x:xf numFmtId="0" fontId="3" fillId="7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4" fillId="6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/>
    <x:xf numFmtId="201" fontId="4" fillId="6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vertical="top"/>
    </x:xf>
    <x:xf numFmtId="0" fontId="3" fillId="8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200" fontId="0" fillId="8" borderId="0" xfId="0" applyNumberFormat="1" applyFont="1" applyFill="1" applyBorder="1"/>
    <x:xf numFmtId="201" fontId="0" fillId="8" borderId="0" xfId="0" applyNumberFormat="1" applyFont="1" applyFill="1" applyBorder="1"/>
    <x:xf numFmtId="0" fontId="0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/>
    <x:xf numFmtId="200" fontId="3" fillId="8" borderId="0" xfId="0" applyNumberFormat="1" applyFont="1" applyFill="1" applyBorder="1"/>
    <x:xf numFmtId="201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vertical="center"/>
    </x:xf>
    <x:xf numFmtId="0" fontId="3" fillId="8" borderId="0" xfId="0" applyNumberFormat="1" applyFont="1" applyFill="1" applyBorder="1" applyAlignment="1">
      <x:alignment vertical="center" wrapText="1"/>
    </x:xf>
    <x:xf numFmtId="200" fontId="3" fillId="8" borderId="0" xfId="0" applyNumberFormat="1" applyFont="1" applyFill="1" applyBorder="1" applyAlignment="1">
      <x:alignment vertical="center"/>
    </x:xf>
    <x:xf numFmtId="201" fontId="3" fillId="8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 applyAlignment="1">
      <x:alignment vertical="top"/>
    </x:xf>
    <x:xf numFmtId="0" fontId="0" fillId="6" borderId="0" xfId="0" applyNumberFormat="1" applyFont="1" applyFill="1" applyBorder="1" applyAlignment="1">
      <x:alignment vertical="top" wrapText="1"/>
    </x:xf>
    <x:xf numFmtId="200" fontId="0" fillId="6" borderId="0" xfId="0" applyNumberFormat="1" applyFont="1" applyFill="1" applyBorder="1"/>
    <x:xf numFmtId="201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200" fontId="4" fillId="6" borderId="0" xfId="0" applyNumberFormat="1" applyFont="1" applyFill="1" applyBorder="1"/>
    <x:xf numFmtId="201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ba73dd02564bfb" /><Relationship Type="http://schemas.openxmlformats.org/officeDocument/2006/relationships/theme" Target="/xl/theme/theme1.xml" Id="R898e43906d0e4346" /><Relationship Type="http://schemas.openxmlformats.org/officeDocument/2006/relationships/sharedStrings" Target="/xl/sharedStrings.xml" Id="R64a9915135904a9a" /><Relationship Type="http://schemas.openxmlformats.org/officeDocument/2006/relationships/worksheet" Target="/xl/worksheets/sheet1.xml" Id="R4ab345fb453549f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0" hidden="0" customWidth="1"/>
    <x:col min="2" max="2" width="30" hidden="0" customWidth="1"/>
    <x:col min="3" max="3" width="17" hidden="0" customWidth="1"/>
    <x:col min="4" max="4" width="20" hidden="0" customWidth="1"/>
    <x:col min="5" max="5" width="18" hidden="0" customWidth="1"/>
    <x:col min="6" max="6" width="15" hidden="0" customWidth="1"/>
    <x:col min="7" max="7" width="16" hidden="0" customWidth="1"/>
    <x:col min="8" max="8" width="20" hidden="0" customWidth="1"/>
    <x:col min="9" max="9" width="14" hidden="0" customWidth="1"/>
    <x:col min="10" max="10" width="11" hidden="0" customWidth="1"/>
    <x:col min="11" max="11" width="11" hidden="0" customWidth="1"/>
    <x:col min="12" max="12" width="11" hidden="0" customWidth="1"/>
    <x:col min="13" max="13" width="18" hidden="0" customWidth="1"/>
    <x:col min="14" max="14" width="18" hidden="0" customWidth="1"/>
    <x:col min="15" max="15" width="54" hidden="0" customWidth="1"/>
    <x:col min="16" max="16" width="14" hidden="0" customWidth="1"/>
    <x:col min="17" max="17" width="16" hidden="0" customWidth="1"/>
    <x:col min="18" max="18" width="10" hidden="0" customWidth="1"/>
    <x:col min="19" max="19" width="18" hidden="0" customWidth="1"/>
    <x:col min="20" max="20" width="12" hidden="0" customWidth="1"/>
    <x:col min="21" max="21" width="18" hidden="0" customWidth="1"/>
    <x:col min="22" max="22" width="48" hidden="0" customWidth="1"/>
    <x:col min="23" max="23" width="58" hidden="0" customWidth="1"/>
  </x:cols>
  <x:sheetData>
    <x:row r="1" ht="30" customHeight="1">
      <x:c r="A1" s="28" t="str">
        <x:v>Brand</x:v>
      </x:c>
      <x:c r="B1" s="28" t="str">
        <x:v>Product Name</x:v>
      </x:c>
      <x:c r="C1" s="28" t="str">
        <x:v>Product Type</x:v>
      </x:c>
      <x:c r="D1" s="28" t="str">
        <x:v>Cannabinoid Category</x:v>
      </x:c>
      <x:c r="E1" s="28" t="str">
        <x:v>Concentrate Type</x:v>
      </x:c>
      <x:c r="F1" s="28" t="str">
        <x:v>Lifestyle</x:v>
      </x:c>
      <x:c r="G1" s="28" t="str">
        <x:v>Effect</x:v>
      </x:c>
      <x:c r="H1" s="28" t="str">
        <x:v>Cannabinoid Combo</x:v>
      </x:c>
      <x:c r="I1" s="28" t="str">
        <x:v>Ratio (Tile)</x:v>
      </x:c>
      <x:c r="J1" s="28" t="str">
        <x:v>THC mg</x:v>
      </x:c>
      <x:c r="K1" s="28" t="str">
        <x:v>CBD mg</x:v>
      </x:c>
      <x:c r="L1" s="28" t="str">
        <x:v>Other mg</x:v>
      </x:c>
      <x:c r="M1" s="28" t="str">
        <x:v>Package</x:v>
      </x:c>
      <x:c r="N1" s="28" t="str">
        <x:v>Flavor</x:v>
      </x:c>
      <x:c r="O1" s="28" t="str">
        <x:v>Description</x:v>
      </x:c>
      <x:c r="P1" s="48" t="str">
        <x:v>Net Qty Basis</x:v>
      </x:c>
      <x:c r="Q1" s="48" t="str">
        <x:v>Net Amount (US)</x:v>
      </x:c>
      <x:c r="R1" s="48" t="str">
        <x:v>US Unit</x:v>
      </x:c>
      <x:c r="S1" s="48" t="str">
        <x:v>Net Amount (Metric)</x:v>
      </x:c>
      <x:c r="T1" s="48" t="str">
        <x:v>Metric Unit</x:v>
      </x:c>
      <x:c r="U1" s="48" t="str">
        <x:v>Serving Amount (g)</x:v>
      </x:c>
      <x:c r="V1" s="48" t="str">
        <x:v>Qty Confidence / Basis</x:v>
      </x:c>
      <x:c r="W1" s="48" t="str">
        <x:v>Qty Source</x:v>
      </x:c>
    </x:row>
    <x:row r="2">
      <x:c r="A2" s="20"/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4"/>
      <x:c r="P2"/>
      <x:c r="Q2" s="49"/>
      <x:c r="R2"/>
      <x:c r="S2" s="51"/>
      <x:c r="T2"/>
      <x:c r="U2" s="49"/>
      <x:c r="V2" s="53"/>
      <x:c r="W2" s="53"/>
    </x:row>
    <x:row r="3" ht="23" customHeight="1">
      <x:c r="A3" s="64" t="str">
        <x:v>THC PRODUCTS</x:v>
      </x:c>
      <x:c r="B3" s="64"/>
      <x:c r="C3" s="64"/>
      <x:c r="D3" s="64"/>
      <x:c r="E3" s="64"/>
      <x:c r="F3" s="64"/>
      <x:c r="G3" s="64"/>
      <x:c r="H3" s="64"/>
      <x:c r="I3" s="64"/>
      <x:c r="J3" s="64"/>
      <x:c r="K3" s="64"/>
      <x:c r="L3" s="64"/>
      <x:c r="M3" s="64"/>
      <x:c r="N3" s="64"/>
      <x:c r="O3" s="65"/>
      <x:c r="P3" s="64"/>
      <x:c r="Q3" s="66"/>
      <x:c r="R3" s="64"/>
      <x:c r="S3" s="67"/>
      <x:c r="T3" s="64"/>
      <x:c r="U3" s="66"/>
      <x:c r="V3" s="65"/>
      <x:c r="W3" s="65"/>
    </x:row>
    <x:row r="4">
      <x:c r="A4" s="20" t="str">
        <x:v>Ceres</x:v>
      </x:c>
      <x:c r="B4" s="20" t="str">
        <x:v>Blackberry Gummies</x:v>
      </x:c>
      <x:c r="C4" s="20" t="str">
        <x:v>Gummies</x:v>
      </x:c>
      <x:c r="D4" s="20" t="str">
        <x:v>THC</x:v>
      </x:c>
      <x:c r="E4" s="20" t="str">
        <x:v>Distillate</x:v>
      </x:c>
      <x:c r="F4" s="20" t="str">
        <x:v>Sativa</x:v>
      </x:c>
      <x:c r="G4" s="20"/>
      <x:c r="H4" s="20" t="str">
        <x:v>THC Only</x:v>
      </x:c>
      <x:c r="I4" s="20"/>
      <x:c r="J4" s="20" t="n">
        <x:v>10</x:v>
      </x:c>
      <x:c r="K4" s="20" t="n">
        <x:v>0</x:v>
      </x:c>
      <x:c r="L4" s="20" t="n">
        <x:v>0</x:v>
      </x:c>
      <x:c r="M4" s="20" t="str">
        <x:v>10mg / 100mg</x:v>
      </x:c>
      <x:c r="N4" s="20" t="str">
        <x:v>Blackberry</x:v>
      </x:c>
      <x:c r="O4" s="24" t="str">
        <x:v>Blackberry flavored gummies crafted with distillate for a sativa profile.</x:v>
      </x:c>
      <x:c r="P4" t="str">
        <x:v>Weight</x:v>
      </x:c>
      <x:c r="Q4" s="49" t="n">
        <x:f>ROUNDDOWN(S4/28.349523125,2)</x:f>
        <x:v>2.18</x:v>
      </x:c>
      <x:c r="R4" t="str">
        <x:v>oz</x:v>
      </x:c>
      <x:c r="S4" s="51" t="n">
        <x:v>62</x:v>
      </x:c>
      <x:c r="T4" t="str">
        <x:v>g</x:v>
      </x:c>
      <x:c r="U4" s="49" t="n">
        <x:f>S4/10</x:f>
        <x:v>6.2</x:v>
      </x:c>
      <x:c r="V4" s="53" t="str">
        <x:v>Researched — Ceres 10-pack chews in WA traceability data</x:v>
      </x:c>
      <x:c r="W4" s="53" t="str">
        <x:v>https://www.topshelfdata.com/wa/seattle/clutch-cannabis/leaf_product_purchases?business=Hannah+Industries&amp;from=2024-07-01</x:v>
      </x:c>
    </x:row>
    <x:row r="5">
      <x:c r="A5" s="20" t="str">
        <x:v>Ceres</x:v>
      </x:c>
      <x:c r="B5" s="20" t="str">
        <x:v>Blackberry Gummies</x:v>
      </x:c>
      <x:c r="C5" s="20" t="str">
        <x:v>Gummies</x:v>
      </x:c>
      <x:c r="D5" s="20" t="str">
        <x:v>THC</x:v>
      </x:c>
      <x:c r="E5" s="20" t="str">
        <x:v>Rosin</x:v>
      </x:c>
      <x:c r="F5" s="20" t="str">
        <x:v>Sativa</x:v>
      </x:c>
      <x:c r="G5" s="20"/>
      <x:c r="H5" s="20" t="str">
        <x:v>THC Only</x:v>
      </x:c>
      <x:c r="I5" s="20"/>
      <x:c r="J5" s="20" t="n">
        <x:v>10</x:v>
      </x:c>
      <x:c r="K5" s="20" t="n">
        <x:v>0</x:v>
      </x:c>
      <x:c r="L5" s="20" t="n">
        <x:v>0</x:v>
      </x:c>
      <x:c r="M5" s="20" t="str">
        <x:v>10mg / 100mg</x:v>
      </x:c>
      <x:c r="N5" s="20" t="str">
        <x:v>Blackberry</x:v>
      </x:c>
      <x:c r="O5" s="24" t="str">
        <x:v>Blackberry flavored gummies crafted with rosin for a sativa profile.</x:v>
      </x:c>
      <x:c r="P5" t="str">
        <x:v>Weight</x:v>
      </x:c>
      <x:c r="Q5" s="49" t="n">
        <x:f>ROUNDDOWN(S5/28.349523125,2)</x:f>
        <x:v>2.18</x:v>
      </x:c>
      <x:c r="R5" t="str">
        <x:v>oz</x:v>
      </x:c>
      <x:c r="S5" s="51" t="n">
        <x:v>62</x:v>
      </x:c>
      <x:c r="T5" t="str">
        <x:v>g</x:v>
      </x:c>
      <x:c r="U5" s="49" t="n">
        <x:f>S5/10</x:f>
        <x:v>6.2</x:v>
      </x:c>
      <x:c r="V5" s="53" t="str">
        <x:v>Researched — Ceres 10-pack chews in WA traceability data</x:v>
      </x:c>
      <x:c r="W5" s="53" t="str">
        <x:v>https://www.topshelfdata.com/wa/seattle/clutch-cannabis/leaf_product_purchases?business=Hannah+Industries&amp;from=2024-07-01</x:v>
      </x:c>
    </x:row>
    <x:row r="6">
      <x:c r="A6" s="20" t="str">
        <x:v>Ceres</x:v>
      </x:c>
      <x:c r="B6" s="20" t="str">
        <x:v>Huckleberry Gummies</x:v>
      </x:c>
      <x:c r="C6" s="20" t="str">
        <x:v>Gummies</x:v>
      </x:c>
      <x:c r="D6" s="20" t="str">
        <x:v>THC</x:v>
      </x:c>
      <x:c r="E6" s="20" t="str">
        <x:v>Distillate</x:v>
      </x:c>
      <x:c r="F6" s="20" t="str">
        <x:v>Indica</x:v>
      </x:c>
      <x:c r="G6" s="20"/>
      <x:c r="H6" s="20" t="str">
        <x:v>THC Only</x:v>
      </x:c>
      <x:c r="I6" s="20"/>
      <x:c r="J6" s="20" t="n">
        <x:v>10</x:v>
      </x:c>
      <x:c r="K6" s="20" t="n">
        <x:v>0</x:v>
      </x:c>
      <x:c r="L6" s="20" t="n">
        <x:v>0</x:v>
      </x:c>
      <x:c r="M6" s="20" t="str">
        <x:v>10mg / 100mg</x:v>
      </x:c>
      <x:c r="N6" s="20" t="str">
        <x:v>Huckleberry</x:v>
      </x:c>
      <x:c r="O6" s="24" t="str">
        <x:v>Huckleberry flavored gummies crafted with distillate for a indica profile.</x:v>
      </x:c>
      <x:c r="P6" t="str">
        <x:v>Weight</x:v>
      </x:c>
      <x:c r="Q6" s="49" t="n">
        <x:f>ROUNDDOWN(S6/28.349523125,2)</x:f>
        <x:v>2.18</x:v>
      </x:c>
      <x:c r="R6" t="str">
        <x:v>oz</x:v>
      </x:c>
      <x:c r="S6" s="51" t="n">
        <x:v>62</x:v>
      </x:c>
      <x:c r="T6" t="str">
        <x:v>g</x:v>
      </x:c>
      <x:c r="U6" s="49" t="n">
        <x:f>S6/10</x:f>
        <x:v>6.2</x:v>
      </x:c>
      <x:c r="V6" s="53" t="str">
        <x:v>Researched — Ceres 10-pack chews in WA traceability data</x:v>
      </x:c>
      <x:c r="W6" s="53" t="str">
        <x:v>https://www.topshelfdata.com/wa/seattle/clutch-cannabis/leaf_product_purchases?business=Hannah+Industries&amp;from=2024-07-01</x:v>
      </x:c>
    </x:row>
    <x:row r="7">
      <x:c r="A7" s="20" t="str">
        <x:v>Ceres</x:v>
      </x:c>
      <x:c r="B7" s="20" t="str">
        <x:v>Pineapple Gummies</x:v>
      </x:c>
      <x:c r="C7" s="20" t="str">
        <x:v>Gummies</x:v>
      </x:c>
      <x:c r="D7" s="20" t="str">
        <x:v>THC</x:v>
      </x:c>
      <x:c r="E7" s="20" t="str">
        <x:v>Rosin</x:v>
      </x:c>
      <x:c r="F7" s="20" t="str">
        <x:v>Hybrid</x:v>
      </x:c>
      <x:c r="G7" s="20"/>
      <x:c r="H7" s="20" t="str">
        <x:v>THC Only</x:v>
      </x:c>
      <x:c r="I7" s="20"/>
      <x:c r="J7" s="20" t="n">
        <x:v>10</x:v>
      </x:c>
      <x:c r="K7" s="20" t="n">
        <x:v>0</x:v>
      </x:c>
      <x:c r="L7" s="20" t="n">
        <x:v>0</x:v>
      </x:c>
      <x:c r="M7" s="20" t="str">
        <x:v>10mg / 100mg</x:v>
      </x:c>
      <x:c r="N7" s="20" t="str">
        <x:v>Pineapple</x:v>
      </x:c>
      <x:c r="O7" s="24" t="str">
        <x:v>Pineapple flavored gummies crafted with rosin for a hybrid profile.</x:v>
      </x:c>
      <x:c r="P7" t="str">
        <x:v>Weight</x:v>
      </x:c>
      <x:c r="Q7" s="49" t="n">
        <x:f>ROUNDDOWN(S7/28.349523125,2)</x:f>
        <x:v>2.18</x:v>
      </x:c>
      <x:c r="R7" t="str">
        <x:v>oz</x:v>
      </x:c>
      <x:c r="S7" s="51" t="n">
        <x:v>62</x:v>
      </x:c>
      <x:c r="T7" t="str">
        <x:v>g</x:v>
      </x:c>
      <x:c r="U7" s="49" t="n">
        <x:f>S7/10</x:f>
        <x:v>6.2</x:v>
      </x:c>
      <x:c r="V7" s="53" t="str">
        <x:v>Researched — Ceres 10-pack chews in WA traceability data</x:v>
      </x:c>
      <x:c r="W7" s="53" t="str">
        <x:v>https://www.topshelfdata.com/wa/seattle/clutch-cannabis/leaf_product_purchases?business=Hannah+Industries&amp;from=2024-07-01</x:v>
      </x:c>
    </x:row>
    <x:row r="8">
      <x:c r="A8" s="20" t="str">
        <x:v>Constellation</x:v>
      </x:c>
      <x:c r="B8" s="20" t="str">
        <x:v>Blood Orange Chocolate Squares</x:v>
      </x:c>
      <x:c r="C8" s="20" t="str">
        <x:v>Chocolate</x:v>
      </x:c>
      <x:c r="D8" s="20" t="str">
        <x:v>THC</x:v>
      </x:c>
      <x:c r="E8" s="20" t="str">
        <x:v>Live Resin</x:v>
      </x:c>
      <x:c r="F8" s="20" t="str">
        <x:v>Hybrid</x:v>
      </x:c>
      <x:c r="G8" s="20"/>
      <x:c r="H8" s="20" t="str">
        <x:v>THC Only</x:v>
      </x:c>
      <x:c r="I8" s="20"/>
      <x:c r="J8" s="20" t="n">
        <x:v>10</x:v>
      </x:c>
      <x:c r="K8" s="20" t="n">
        <x:v>0</x:v>
      </x:c>
      <x:c r="L8" s="20" t="n">
        <x:v>0</x:v>
      </x:c>
      <x:c r="M8" s="20" t="str">
        <x:v>10mg / 100mg</x:v>
      </x:c>
      <x:c r="N8" s="20" t="str">
        <x:v>Blood Orange</x:v>
      </x:c>
      <x:c r="O8" s="24" t="str">
        <x:v>Blood Orange flavored chocolate crafted with live resin for a hybrid profile.</x:v>
      </x:c>
      <x:c r="P8" t="str">
        <x:v>Weight</x:v>
      </x:c>
      <x:c r="Q8" s="49" t="n">
        <x:f>ROUNDDOWN(S8/28.349523125,2)</x:f>
        <x:v>3.52</x:v>
      </x:c>
      <x:c r="R8" t="str">
        <x:v>oz</x:v>
      </x:c>
      <x:c r="S8" s="51" t="n">
        <x:v>100</x:v>
      </x:c>
      <x:c r="T8" t="str">
        <x:v>g</x:v>
      </x:c>
      <x:c r="U8" s="49" t="n">
        <x:f>S8/10</x:f>
        <x:v>10</x:v>
      </x:c>
      <x:c r="V8" s="53" t="str">
        <x:v>Estimated — exact SKU not found; comparable WA 10-piece chocolate/confection package</x:v>
      </x:c>
      <x:c r="W8" s="53" t="str">
        <x:v>https://www.topshelfdata.com/wa/tacoma/the-gallery-parkland/leaf_product_purchases?business=Stryps&amp;from=2024-04-01</x:v>
      </x:c>
    </x:row>
    <x:row r="9">
      <x:c r="A9" s="20" t="str">
        <x:v>Constellation</x:v>
      </x:c>
      <x:c r="B9" s="20" t="str">
        <x:v>Blood Orange Chocolate Squares</x:v>
      </x:c>
      <x:c r="C9" s="20" t="str">
        <x:v>Chocolate</x:v>
      </x:c>
      <x:c r="D9" s="20" t="str">
        <x:v>THC</x:v>
      </x:c>
      <x:c r="E9" s="20" t="str">
        <x:v>Live Rosin</x:v>
      </x:c>
      <x:c r="F9" s="20" t="str">
        <x:v>Hybrid</x:v>
      </x:c>
      <x:c r="G9" s="20"/>
      <x:c r="H9" s="20" t="str">
        <x:v>THC Only</x:v>
      </x:c>
      <x:c r="I9" s="20"/>
      <x:c r="J9" s="20" t="n">
        <x:v>10</x:v>
      </x:c>
      <x:c r="K9" s="20" t="n">
        <x:v>0</x:v>
      </x:c>
      <x:c r="L9" s="20" t="n">
        <x:v>0</x:v>
      </x:c>
      <x:c r="M9" s="20" t="str">
        <x:v>10mg / 100mg</x:v>
      </x:c>
      <x:c r="N9" s="20" t="str">
        <x:v>Blood Orange</x:v>
      </x:c>
      <x:c r="O9" s="24" t="str">
        <x:v>Blood Orange flavored chocolate crafted with live rosin for a hybrid profile.</x:v>
      </x:c>
      <x:c r="P9" t="str">
        <x:v>Weight</x:v>
      </x:c>
      <x:c r="Q9" s="49" t="n">
        <x:f>ROUNDDOWN(S9/28.349523125,2)</x:f>
        <x:v>3.52</x:v>
      </x:c>
      <x:c r="R9" t="str">
        <x:v>oz</x:v>
      </x:c>
      <x:c r="S9" s="51" t="n">
        <x:v>100</x:v>
      </x:c>
      <x:c r="T9" t="str">
        <x:v>g</x:v>
      </x:c>
      <x:c r="U9" s="49" t="n">
        <x:f>S9/10</x:f>
        <x:v>10</x:v>
      </x:c>
      <x:c r="V9" s="53" t="str">
        <x:v>Estimated — exact SKU not found; comparable WA 10-piece chocolate/confection package</x:v>
      </x:c>
      <x:c r="W9" s="53" t="str">
        <x:v>https://www.topshelfdata.com/wa/tacoma/the-gallery-parkland/leaf_product_purchases?business=Stryps&amp;from=2024-04-01</x:v>
      </x:c>
    </x:row>
    <x:row r="10">
      <x:c r="A10" s="20" t="str">
        <x:v>Constellation</x:v>
      </x:c>
      <x:c r="B10" s="20" t="str">
        <x:v>Lemon Chocolate Squares</x:v>
      </x:c>
      <x:c r="C10" s="20" t="str">
        <x:v>Chocolate</x:v>
      </x:c>
      <x:c r="D10" s="20" t="str">
        <x:v>THC</x:v>
      </x:c>
      <x:c r="E10" s="20" t="str">
        <x:v>Live Resin</x:v>
      </x:c>
      <x:c r="F10" s="20" t="str">
        <x:v>Sativa</x:v>
      </x:c>
      <x:c r="G10" s="20"/>
      <x:c r="H10" s="20" t="str">
        <x:v>THC Only</x:v>
      </x:c>
      <x:c r="I10" s="20"/>
      <x:c r="J10" s="20" t="n">
        <x:v>10</x:v>
      </x:c>
      <x:c r="K10" s="20" t="n">
        <x:v>0</x:v>
      </x:c>
      <x:c r="L10" s="20" t="n">
        <x:v>0</x:v>
      </x:c>
      <x:c r="M10" s="20" t="str">
        <x:v>10mg / 100mg</x:v>
      </x:c>
      <x:c r="N10" s="20" t="str">
        <x:v>Lemon</x:v>
      </x:c>
      <x:c r="O10" s="24" t="str">
        <x:v>Lemon flavored chocolate crafted with live resin for a sativa profile.</x:v>
      </x:c>
      <x:c r="P10" t="str">
        <x:v>Weight</x:v>
      </x:c>
      <x:c r="Q10" s="49" t="n">
        <x:f>ROUNDDOWN(S10/28.349523125,2)</x:f>
        <x:v>3.52</x:v>
      </x:c>
      <x:c r="R10" t="str">
        <x:v>oz</x:v>
      </x:c>
      <x:c r="S10" s="51" t="n">
        <x:v>100</x:v>
      </x:c>
      <x:c r="T10" t="str">
        <x:v>g</x:v>
      </x:c>
      <x:c r="U10" s="49" t="n">
        <x:f>S10/10</x:f>
        <x:v>10</x:v>
      </x:c>
      <x:c r="V10" s="53" t="str">
        <x:v>Estimated — exact SKU not found; comparable WA 10-piece chocolate/confection package</x:v>
      </x:c>
      <x:c r="W10" s="53" t="str">
        <x:v>https://www.topshelfdata.com/wa/tacoma/the-gallery-parkland/leaf_product_purchases?business=Stryps&amp;from=2024-04-01</x:v>
      </x:c>
    </x:row>
    <x:row r="11">
      <x:c r="A11" s="20" t="str">
        <x:v>Constellation</x:v>
      </x:c>
      <x:c r="B11" s="20" t="str">
        <x:v>Raspberry Chocolate Squares</x:v>
      </x:c>
      <x:c r="C11" s="20" t="str">
        <x:v>Chocolate</x:v>
      </x:c>
      <x:c r="D11" s="20" t="str">
        <x:v>THC</x:v>
      </x:c>
      <x:c r="E11" s="20" t="str">
        <x:v>Live Rosin</x:v>
      </x:c>
      <x:c r="F11" s="20" t="str">
        <x:v>Indica</x:v>
      </x:c>
      <x:c r="G11" s="20"/>
      <x:c r="H11" s="20" t="str">
        <x:v>THC Only</x:v>
      </x:c>
      <x:c r="I11" s="20"/>
      <x:c r="J11" s="20" t="n">
        <x:v>10</x:v>
      </x:c>
      <x:c r="K11" s="20" t="n">
        <x:v>0</x:v>
      </x:c>
      <x:c r="L11" s="20" t="n">
        <x:v>0</x:v>
      </x:c>
      <x:c r="M11" s="20" t="str">
        <x:v>10mg / 100mg</x:v>
      </x:c>
      <x:c r="N11" s="20" t="str">
        <x:v>Raspberry</x:v>
      </x:c>
      <x:c r="O11" s="24" t="str">
        <x:v>Raspberry flavored chocolate crafted with live rosin for a indica profile.</x:v>
      </x:c>
      <x:c r="P11" t="str">
        <x:v>Weight</x:v>
      </x:c>
      <x:c r="Q11" s="49" t="n">
        <x:f>ROUNDDOWN(S11/28.349523125,2)</x:f>
        <x:v>3.52</x:v>
      </x:c>
      <x:c r="R11" t="str">
        <x:v>oz</x:v>
      </x:c>
      <x:c r="S11" s="51" t="n">
        <x:v>100</x:v>
      </x:c>
      <x:c r="T11" t="str">
        <x:v>g</x:v>
      </x:c>
      <x:c r="U11" s="49" t="n">
        <x:f>S11/10</x:f>
        <x:v>10</x:v>
      </x:c>
      <x:c r="V11" s="53" t="str">
        <x:v>Estimated — exact SKU not found; comparable WA 10-piece chocolate/confection package</x:v>
      </x:c>
      <x:c r="W11" s="53" t="str">
        <x:v>https://www.topshelfdata.com/wa/tacoma/the-gallery-parkland/leaf_product_purchases?business=Stryps&amp;from=2024-04-01</x:v>
      </x:c>
    </x:row>
    <x:row r="12">
      <x:c r="A12" s="20" t="str">
        <x:v>Good Tide</x:v>
      </x:c>
      <x:c r="B12" s="20" t="str">
        <x:v>Blue Raspberry Fruit Drops</x:v>
      </x:c>
      <x:c r="C12" s="20" t="str">
        <x:v>Hard Candy</x:v>
      </x:c>
      <x:c r="D12" s="20" t="str">
        <x:v>THC</x:v>
      </x:c>
      <x:c r="E12" s="20" t="str">
        <x:v>Rosin</x:v>
      </x:c>
      <x:c r="F12" s="20" t="str">
        <x:v>Indica</x:v>
      </x:c>
      <x:c r="G12" s="20"/>
      <x:c r="H12" s="20" t="str">
        <x:v>THC Only</x:v>
      </x:c>
      <x:c r="I12" s="20"/>
      <x:c r="J12" s="20" t="n">
        <x:v>10</x:v>
      </x:c>
      <x:c r="K12" s="20" t="n">
        <x:v>0</x:v>
      </x:c>
      <x:c r="L12" s="20" t="n">
        <x:v>0</x:v>
      </x:c>
      <x:c r="M12" s="20" t="str">
        <x:v>10mg / 100mg</x:v>
      </x:c>
      <x:c r="N12" s="20" t="str">
        <x:v>Blue Raspberry</x:v>
      </x:c>
      <x:c r="O12" s="24" t="str">
        <x:v>Blue Raspberry flavored hard candy crafted with rosin for a indica profile.</x:v>
      </x:c>
      <x:c r="P12" t="str">
        <x:v>Weight</x:v>
      </x:c>
      <x:c r="Q12" s="49" t="n">
        <x:f>ROUNDDOWN(S12/28.349523125,2)</x:f>
        <x:v>1.41</x:v>
      </x:c>
      <x:c r="R12" t="str">
        <x:v>oz</x:v>
      </x:c>
      <x:c r="S12" s="51" t="n">
        <x:v>40</x:v>
      </x:c>
      <x:c r="T12" t="str">
        <x:v>g</x:v>
      </x:c>
      <x:c r="U12" s="49" t="n">
        <x:f>S12/10</x:f>
        <x:v>4</x:v>
      </x:c>
      <x:c r="V12" s="53" t="str">
        <x:v>Estimated — synthetic hard-candy SKU; comparable 10-count edible package</x:v>
      </x:c>
      <x:c r="W12" s="53" t="str">
        <x:v>https://weedmaps.com/brands/good-tide/products/good-tide-kiwi-strawberry-solventless-hass-rosin-gummies-refreshing</x:v>
      </x:c>
    </x:row>
    <x:row r="13">
      <x:c r="A13" s="20" t="str">
        <x:v>Good Tide</x:v>
      </x:c>
      <x:c r="B13" s="20" t="str">
        <x:v>Blue Raspberry Fruit Drops</x:v>
      </x:c>
      <x:c r="C13" s="20" t="str">
        <x:v>Hard Candy</x:v>
      </x:c>
      <x:c r="D13" s="20" t="str">
        <x:v>THC</x:v>
      </x:c>
      <x:c r="E13" s="20" t="str">
        <x:v>Distillate</x:v>
      </x:c>
      <x:c r="F13" s="20" t="str">
        <x:v>Indica</x:v>
      </x:c>
      <x:c r="G13" s="20"/>
      <x:c r="H13" s="20" t="str">
        <x:v>THC Only</x:v>
      </x:c>
      <x:c r="I13" s="20"/>
      <x:c r="J13" s="20" t="n">
        <x:v>10</x:v>
      </x:c>
      <x:c r="K13" s="20" t="n">
        <x:v>0</x:v>
      </x:c>
      <x:c r="L13" s="20" t="n">
        <x:v>0</x:v>
      </x:c>
      <x:c r="M13" s="20" t="str">
        <x:v>10mg / 100mg</x:v>
      </x:c>
      <x:c r="N13" s="20" t="str">
        <x:v>Blue Raspberry</x:v>
      </x:c>
      <x:c r="O13" s="24" t="str">
        <x:v>Blue Raspberry flavored hard candy crafted with distillate for a indica profile.</x:v>
      </x:c>
      <x:c r="P13" t="str">
        <x:v>Weight</x:v>
      </x:c>
      <x:c r="Q13" s="49" t="n">
        <x:f>ROUNDDOWN(S13/28.349523125,2)</x:f>
        <x:v>1.41</x:v>
      </x:c>
      <x:c r="R13" t="str">
        <x:v>oz</x:v>
      </x:c>
      <x:c r="S13" s="51" t="n">
        <x:v>40</x:v>
      </x:c>
      <x:c r="T13" t="str">
        <x:v>g</x:v>
      </x:c>
      <x:c r="U13" s="49" t="n">
        <x:f>S13/10</x:f>
        <x:v>4</x:v>
      </x:c>
      <x:c r="V13" s="53" t="str">
        <x:v>Estimated — synthetic hard-candy SKU; comparable 10-count edible package</x:v>
      </x:c>
      <x:c r="W13" s="53" t="str">
        <x:v>https://weedmaps.com/brands/good-tide/products/good-tide-kiwi-strawberry-solventless-hass-rosin-gummies-refreshing</x:v>
      </x:c>
    </x:row>
    <x:row r="14">
      <x:c r="A14" s="20" t="str">
        <x:v>Good Tide</x:v>
      </x:c>
      <x:c r="B14" s="20" t="str">
        <x:v>Mango Fruit Drops</x:v>
      </x:c>
      <x:c r="C14" s="20" t="str">
        <x:v>Hard Candy</x:v>
      </x:c>
      <x:c r="D14" s="20" t="str">
        <x:v>THC</x:v>
      </x:c>
      <x:c r="E14" s="20" t="str">
        <x:v>Rosin</x:v>
      </x:c>
      <x:c r="F14" s="20" t="str">
        <x:v>Hybrid</x:v>
      </x:c>
      <x:c r="G14" s="20"/>
      <x:c r="H14" s="20" t="str">
        <x:v>THC Only</x:v>
      </x:c>
      <x:c r="I14" s="20"/>
      <x:c r="J14" s="20" t="n">
        <x:v>10</x:v>
      </x:c>
      <x:c r="K14" s="20" t="n">
        <x:v>0</x:v>
      </x:c>
      <x:c r="L14" s="20" t="n">
        <x:v>0</x:v>
      </x:c>
      <x:c r="M14" s="20" t="str">
        <x:v>10mg / 100mg</x:v>
      </x:c>
      <x:c r="N14" s="20" t="str">
        <x:v>Mango</x:v>
      </x:c>
      <x:c r="O14" s="24" t="str">
        <x:v>Mango flavored hard candy crafted with rosin for a hybrid profile.</x:v>
      </x:c>
      <x:c r="P14" t="str">
        <x:v>Weight</x:v>
      </x:c>
      <x:c r="Q14" s="49" t="n">
        <x:f>ROUNDDOWN(S14/28.349523125,2)</x:f>
        <x:v>1.41</x:v>
      </x:c>
      <x:c r="R14" t="str">
        <x:v>oz</x:v>
      </x:c>
      <x:c r="S14" s="51" t="n">
        <x:v>40</x:v>
      </x:c>
      <x:c r="T14" t="str">
        <x:v>g</x:v>
      </x:c>
      <x:c r="U14" s="49" t="n">
        <x:f>S14/10</x:f>
        <x:v>4</x:v>
      </x:c>
      <x:c r="V14" s="53" t="str">
        <x:v>Estimated — synthetic hard-candy SKU; comparable 10-count edible package</x:v>
      </x:c>
      <x:c r="W14" s="53" t="str">
        <x:v>https://weedmaps.com/brands/good-tide/products/good-tide-kiwi-strawberry-solventless-hass-rosin-gummies-refreshing</x:v>
      </x:c>
    </x:row>
    <x:row r="15">
      <x:c r="A15" s="20" t="str">
        <x:v>Good Tide</x:v>
      </x:c>
      <x:c r="B15" s="20" t="str">
        <x:v>Strawberry Fruit Drops</x:v>
      </x:c>
      <x:c r="C15" s="20" t="str">
        <x:v>Hard Candy</x:v>
      </x:c>
      <x:c r="D15" s="20" t="str">
        <x:v>THC</x:v>
      </x:c>
      <x:c r="E15" s="20" t="str">
        <x:v>Distillate</x:v>
      </x:c>
      <x:c r="F15" s="20" t="str">
        <x:v>Sativa</x:v>
      </x:c>
      <x:c r="G15" s="20"/>
      <x:c r="H15" s="20" t="str">
        <x:v>THC Only</x:v>
      </x:c>
      <x:c r="I15" s="20"/>
      <x:c r="J15" s="20" t="n">
        <x:v>10</x:v>
      </x:c>
      <x:c r="K15" s="20" t="n">
        <x:v>0</x:v>
      </x:c>
      <x:c r="L15" s="20" t="n">
        <x:v>0</x:v>
      </x:c>
      <x:c r="M15" s="20" t="str">
        <x:v>10mg / 100mg</x:v>
      </x:c>
      <x:c r="N15" s="20" t="str">
        <x:v>Strawberry</x:v>
      </x:c>
      <x:c r="O15" s="24" t="str">
        <x:v>Strawberry flavored hard candy crafted with distillate for a sativa profile.</x:v>
      </x:c>
      <x:c r="P15" t="str">
        <x:v>Weight</x:v>
      </x:c>
      <x:c r="Q15" s="49" t="n">
        <x:f>ROUNDDOWN(S15/28.349523125,2)</x:f>
        <x:v>1.41</x:v>
      </x:c>
      <x:c r="R15" t="str">
        <x:v>oz</x:v>
      </x:c>
      <x:c r="S15" s="51" t="n">
        <x:v>40</x:v>
      </x:c>
      <x:c r="T15" t="str">
        <x:v>g</x:v>
      </x:c>
      <x:c r="U15" s="49" t="n">
        <x:f>S15/10</x:f>
        <x:v>4</x:v>
      </x:c>
      <x:c r="V15" s="53" t="str">
        <x:v>Estimated — synthetic hard-candy SKU; comparable 10-count edible package</x:v>
      </x:c>
      <x:c r="W15" s="53" t="str">
        <x:v>https://weedmaps.com/brands/good-tide/products/good-tide-kiwi-strawberry-solventless-hass-rosin-gummies-refreshing</x:v>
      </x:c>
    </x:row>
    <x:row r="16">
      <x:c r="A16" s="20" t="str">
        <x:v>Green Revolution</x:v>
      </x:c>
      <x:c r="B16" s="20" t="str">
        <x:v>Cherry Lime Cookie Bites</x:v>
      </x:c>
      <x:c r="C16" s="20" t="str">
        <x:v>Baked Goods</x:v>
      </x:c>
      <x:c r="D16" s="20" t="str">
        <x:v>THC</x:v>
      </x:c>
      <x:c r="E16" s="20" t="str">
        <x:v>Live Rosin</x:v>
      </x:c>
      <x:c r="F16" s="20" t="str">
        <x:v>Sativa</x:v>
      </x:c>
      <x:c r="G16" s="20"/>
      <x:c r="H16" s="20" t="str">
        <x:v>THC Only</x:v>
      </x:c>
      <x:c r="I16" s="20"/>
      <x:c r="J16" s="20" t="n">
        <x:v>10</x:v>
      </x:c>
      <x:c r="K16" s="20" t="n">
        <x:v>0</x:v>
      </x:c>
      <x:c r="L16" s="20" t="n">
        <x:v>0</x:v>
      </x:c>
      <x:c r="M16" s="20" t="str">
        <x:v>10mg / 100mg</x:v>
      </x:c>
      <x:c r="N16" s="20" t="str">
        <x:v>Cherry Lime</x:v>
      </x:c>
      <x:c r="O16" s="24" t="str">
        <x:v>Cherry Lime flavored baked goods crafted with live rosin for a sativa profile.</x:v>
      </x:c>
      <x:c r="P16" t="str">
        <x:v>Weight</x:v>
      </x:c>
      <x:c r="Q16" s="49" t="n">
        <x:f>ROUNDDOWN(S16/28.349523125,2)</x:f>
        <x:v>3.52</x:v>
      </x:c>
      <x:c r="R16" t="str">
        <x:v>oz</x:v>
      </x:c>
      <x:c r="S16" s="51" t="n">
        <x:v>100</x:v>
      </x:c>
      <x:c r="T16" t="str">
        <x:v>g</x:v>
      </x:c>
      <x:c r="U16" s="49" t="n">
        <x:f>S16/10</x:f>
        <x:v>10</x:v>
      </x:c>
      <x:c r="V16" s="53" t="str">
        <x:v>Estimated — exact baked SKU not found; aligned to comparable 10-serving WA confection package</x:v>
      </x:c>
      <x:c r="W16" s="53" t="str">
        <x:v>https://www.topshelfdata.com/wa/bothell/herbal-nation/leaf_product_purchases?business=Harmony+Farms&amp;from=2024-02-01</x:v>
      </x:c>
    </x:row>
    <x:row r="17">
      <x:c r="A17" s="20" t="str">
        <x:v>Green Revolution</x:v>
      </x:c>
      <x:c r="B17" s="20" t="str">
        <x:v>Cherry Lime Cookie Bites</x:v>
      </x:c>
      <x:c r="C17" s="20" t="str">
        <x:v>Baked Goods</x:v>
      </x:c>
      <x:c r="D17" s="20" t="str">
        <x:v>THC</x:v>
      </x:c>
      <x:c r="E17" s="20" t="str">
        <x:v>Live Resin</x:v>
      </x:c>
      <x:c r="F17" s="20" t="str">
        <x:v>Sativa</x:v>
      </x:c>
      <x:c r="G17" s="20"/>
      <x:c r="H17" s="20" t="str">
        <x:v>THC Only</x:v>
      </x:c>
      <x:c r="I17" s="20"/>
      <x:c r="J17" s="20" t="n">
        <x:v>10</x:v>
      </x:c>
      <x:c r="K17" s="20" t="n">
        <x:v>0</x:v>
      </x:c>
      <x:c r="L17" s="20" t="n">
        <x:v>0</x:v>
      </x:c>
      <x:c r="M17" s="20" t="str">
        <x:v>10mg / 100mg</x:v>
      </x:c>
      <x:c r="N17" s="20" t="str">
        <x:v>Cherry Lime</x:v>
      </x:c>
      <x:c r="O17" s="24" t="str">
        <x:v>Cherry Lime flavored baked goods crafted with live resin for a sativa profile.</x:v>
      </x:c>
      <x:c r="P17" t="str">
        <x:v>Weight</x:v>
      </x:c>
      <x:c r="Q17" s="49" t="n">
        <x:f>ROUNDDOWN(S17/28.349523125,2)</x:f>
        <x:v>3.52</x:v>
      </x:c>
      <x:c r="R17" t="str">
        <x:v>oz</x:v>
      </x:c>
      <x:c r="S17" s="51" t="n">
        <x:v>100</x:v>
      </x:c>
      <x:c r="T17" t="str">
        <x:v>g</x:v>
      </x:c>
      <x:c r="U17" s="49" t="n">
        <x:f>S17/10</x:f>
        <x:v>10</x:v>
      </x:c>
      <x:c r="V17" s="53" t="str">
        <x:v>Estimated — exact baked SKU not found; aligned to comparable 10-serving WA confection package</x:v>
      </x:c>
      <x:c r="W17" s="53" t="str">
        <x:v>https://www.topshelfdata.com/wa/bothell/herbal-nation/leaf_product_purchases?business=Harmony+Farms&amp;from=2024-02-01</x:v>
      </x:c>
    </x:row>
    <x:row r="18">
      <x:c r="A18" s="20" t="str">
        <x:v>Green Revolution</x:v>
      </x:c>
      <x:c r="B18" s="20" t="str">
        <x:v>Peach Cookie Bites</x:v>
      </x:c>
      <x:c r="C18" s="20" t="str">
        <x:v>Baked Goods</x:v>
      </x:c>
      <x:c r="D18" s="20" t="str">
        <x:v>THC</x:v>
      </x:c>
      <x:c r="E18" s="20" t="str">
        <x:v>Live Rosin</x:v>
      </x:c>
      <x:c r="F18" s="20" t="str">
        <x:v>Indica</x:v>
      </x:c>
      <x:c r="G18" s="20"/>
      <x:c r="H18" s="20" t="str">
        <x:v>THC Only</x:v>
      </x:c>
      <x:c r="I18" s="20"/>
      <x:c r="J18" s="20" t="n">
        <x:v>10</x:v>
      </x:c>
      <x:c r="K18" s="20" t="n">
        <x:v>0</x:v>
      </x:c>
      <x:c r="L18" s="20" t="n">
        <x:v>0</x:v>
      </x:c>
      <x:c r="M18" s="20" t="str">
        <x:v>10mg / 100mg</x:v>
      </x:c>
      <x:c r="N18" s="20" t="str">
        <x:v>Peach</x:v>
      </x:c>
      <x:c r="O18" s="24" t="str">
        <x:v>Peach flavored baked goods crafted with live rosin for a indica profile.</x:v>
      </x:c>
      <x:c r="P18" t="str">
        <x:v>Weight</x:v>
      </x:c>
      <x:c r="Q18" s="49" t="n">
        <x:f>ROUNDDOWN(S18/28.349523125,2)</x:f>
        <x:v>3.52</x:v>
      </x:c>
      <x:c r="R18" t="str">
        <x:v>oz</x:v>
      </x:c>
      <x:c r="S18" s="51" t="n">
        <x:v>100</x:v>
      </x:c>
      <x:c r="T18" t="str">
        <x:v>g</x:v>
      </x:c>
      <x:c r="U18" s="49" t="n">
        <x:f>S18/10</x:f>
        <x:v>10</x:v>
      </x:c>
      <x:c r="V18" s="53" t="str">
        <x:v>Estimated — exact baked SKU not found; aligned to comparable 10-serving WA confection package</x:v>
      </x:c>
      <x:c r="W18" s="53" t="str">
        <x:v>https://www.topshelfdata.com/wa/bothell/herbal-nation/leaf_product_purchases?business=Harmony+Farms&amp;from=2024-02-01</x:v>
      </x:c>
    </x:row>
    <x:row r="19">
      <x:c r="A19" s="20" t="str">
        <x:v>Green Revolution</x:v>
      </x:c>
      <x:c r="B19" s="20" t="str">
        <x:v>Tangerine Cookie Bites</x:v>
      </x:c>
      <x:c r="C19" s="20" t="str">
        <x:v>Baked Goods</x:v>
      </x:c>
      <x:c r="D19" s="20" t="str">
        <x:v>THC</x:v>
      </x:c>
      <x:c r="E19" s="20" t="str">
        <x:v>Live Resin</x:v>
      </x:c>
      <x:c r="F19" s="20" t="str">
        <x:v>Hybrid</x:v>
      </x:c>
      <x:c r="G19" s="20"/>
      <x:c r="H19" s="20" t="str">
        <x:v>THC Only</x:v>
      </x:c>
      <x:c r="I19" s="20"/>
      <x:c r="J19" s="20" t="n">
        <x:v>10</x:v>
      </x:c>
      <x:c r="K19" s="20" t="n">
        <x:v>0</x:v>
      </x:c>
      <x:c r="L19" s="20" t="n">
        <x:v>0</x:v>
      </x:c>
      <x:c r="M19" s="20" t="str">
        <x:v>10mg / 100mg</x:v>
      </x:c>
      <x:c r="N19" s="20" t="str">
        <x:v>Tangerine</x:v>
      </x:c>
      <x:c r="O19" s="24" t="str">
        <x:v>Tangerine flavored baked goods crafted with live resin for a hybrid profile.</x:v>
      </x:c>
      <x:c r="P19" t="str">
        <x:v>Weight</x:v>
      </x:c>
      <x:c r="Q19" s="49" t="n">
        <x:f>ROUNDDOWN(S19/28.349523125,2)</x:f>
        <x:v>3.52</x:v>
      </x:c>
      <x:c r="R19" t="str">
        <x:v>oz</x:v>
      </x:c>
      <x:c r="S19" s="51" t="n">
        <x:v>100</x:v>
      </x:c>
      <x:c r="T19" t="str">
        <x:v>g</x:v>
      </x:c>
      <x:c r="U19" s="49" t="n">
        <x:f>S19/10</x:f>
        <x:v>10</x:v>
      </x:c>
      <x:c r="V19" s="53" t="str">
        <x:v>Estimated — exact baked SKU not found; aligned to comparable 10-serving WA confection package</x:v>
      </x:c>
      <x:c r="W19" s="53" t="str">
        <x:v>https://www.topshelfdata.com/wa/bothell/herbal-nation/leaf_product_purchases?business=Harmony+Farms&amp;from=2024-02-01</x:v>
      </x:c>
    </x:row>
    <x:row r="20">
      <x:c r="A20" s="20" t="str">
        <x:v>Journeyman</x:v>
      </x:c>
      <x:c r="B20" s="20" t="str">
        <x:v>Dark Chocolate Softgels</x:v>
      </x:c>
      <x:c r="C20" s="20" t="str">
        <x:v>Capsules</x:v>
      </x:c>
      <x:c r="D20" s="20" t="str">
        <x:v>THC</x:v>
      </x:c>
      <x:c r="E20" s="20" t="str">
        <x:v>Distillate</x:v>
      </x:c>
      <x:c r="F20" s="20" t="str">
        <x:v>Hybrid</x:v>
      </x:c>
      <x:c r="G20" s="20"/>
      <x:c r="H20" s="20" t="str">
        <x:v>THC Only</x:v>
      </x:c>
      <x:c r="I20" s="20"/>
      <x:c r="J20" s="20" t="n">
        <x:v>10</x:v>
      </x:c>
      <x:c r="K20" s="20" t="n">
        <x:v>0</x:v>
      </x:c>
      <x:c r="L20" s="20" t="n">
        <x:v>0</x:v>
      </x:c>
      <x:c r="M20" s="20" t="str">
        <x:v>10mg / 100mg</x:v>
      </x:c>
      <x:c r="N20" s="20" t="str">
        <x:v>Dark Chocolate</x:v>
      </x:c>
      <x:c r="O20" s="24" t="str">
        <x:v>Dark Chocolate flavored capsules crafted with distillate for a hybrid profile.</x:v>
      </x:c>
      <x:c r="P20" t="str">
        <x:v>Weight</x:v>
      </x:c>
      <x:c r="Q20" s="49" t="n">
        <x:f>ROUNDDOWN(S20/28.349523125,2)</x:f>
        <x:v>0.35</x:v>
      </x:c>
      <x:c r="R20" t="str">
        <x:v>oz</x:v>
      </x:c>
      <x:c r="S20" s="51" t="n">
        <x:v>10</x:v>
      </x:c>
      <x:c r="T20" t="str">
        <x:v>g</x:v>
      </x:c>
      <x:c r="U20" s="49" t="n">
        <x:f>S20/10</x:f>
        <x:v>1</x:v>
      </x:c>
      <x:c r="V20" s="53" t="str">
        <x:v>Estimated — synthetic 10-count capsule package</x:v>
      </x:c>
      <x:c r="W20" s="53" t="str">
        <x:v>https://www.topshelfdata.com/wa/shelton/sashas-cannabis/leaf_product_purchases?business=Fairwinds+Manufacturing&amp;from=2024-05-01</x:v>
      </x:c>
    </x:row>
    <x:row r="21">
      <x:c r="A21" s="20" t="str">
        <x:v>Journeyman</x:v>
      </x:c>
      <x:c r="B21" s="20" t="str">
        <x:v>Dark Chocolate Softgels</x:v>
      </x:c>
      <x:c r="C21" s="20" t="str">
        <x:v>Capsules</x:v>
      </x:c>
      <x:c r="D21" s="20" t="str">
        <x:v>THC</x:v>
      </x:c>
      <x:c r="E21" s="20" t="str">
        <x:v>Rosin</x:v>
      </x:c>
      <x:c r="F21" s="20" t="str">
        <x:v>Hybrid</x:v>
      </x:c>
      <x:c r="G21" s="20"/>
      <x:c r="H21" s="20" t="str">
        <x:v>THC Only</x:v>
      </x:c>
      <x:c r="I21" s="20"/>
      <x:c r="J21" s="20" t="n">
        <x:v>10</x:v>
      </x:c>
      <x:c r="K21" s="20" t="n">
        <x:v>0</x:v>
      </x:c>
      <x:c r="L21" s="20" t="n">
        <x:v>0</x:v>
      </x:c>
      <x:c r="M21" s="20" t="str">
        <x:v>10mg / 100mg</x:v>
      </x:c>
      <x:c r="N21" s="20" t="str">
        <x:v>Dark Chocolate</x:v>
      </x:c>
      <x:c r="O21" s="24" t="str">
        <x:v>Dark Chocolate flavored capsules crafted with rosin for a hybrid profile.</x:v>
      </x:c>
      <x:c r="P21" t="str">
        <x:v>Weight</x:v>
      </x:c>
      <x:c r="Q21" s="49" t="n">
        <x:f>ROUNDDOWN(S21/28.349523125,2)</x:f>
        <x:v>0.35</x:v>
      </x:c>
      <x:c r="R21" t="str">
        <x:v>oz</x:v>
      </x:c>
      <x:c r="S21" s="51" t="n">
        <x:v>10</x:v>
      </x:c>
      <x:c r="T21" t="str">
        <x:v>g</x:v>
      </x:c>
      <x:c r="U21" s="49" t="n">
        <x:f>S21/10</x:f>
        <x:v>1</x:v>
      </x:c>
      <x:c r="V21" s="53" t="str">
        <x:v>Estimated — synthetic 10-count capsule package</x:v>
      </x:c>
      <x:c r="W21" s="53" t="str">
        <x:v>https://www.topshelfdata.com/wa/shelton/sashas-cannabis/leaf_product_purchases?business=Fairwinds+Manufacturing&amp;from=2024-05-01</x:v>
      </x:c>
    </x:row>
    <x:row r="22">
      <x:c r="A22" s="20" t="str">
        <x:v>Journeyman</x:v>
      </x:c>
      <x:c r="B22" s="20" t="str">
        <x:v>Pear Softgels</x:v>
      </x:c>
      <x:c r="C22" s="20" t="str">
        <x:v>Capsules</x:v>
      </x:c>
      <x:c r="D22" s="20" t="str">
        <x:v>THC</x:v>
      </x:c>
      <x:c r="E22" s="20" t="str">
        <x:v>Distillate</x:v>
      </x:c>
      <x:c r="F22" s="20" t="str">
        <x:v>Sativa</x:v>
      </x:c>
      <x:c r="G22" s="20"/>
      <x:c r="H22" s="20" t="str">
        <x:v>THC Only</x:v>
      </x:c>
      <x:c r="I22" s="20"/>
      <x:c r="J22" s="20" t="n">
        <x:v>10</x:v>
      </x:c>
      <x:c r="K22" s="20" t="n">
        <x:v>0</x:v>
      </x:c>
      <x:c r="L22" s="20" t="n">
        <x:v>0</x:v>
      </x:c>
      <x:c r="M22" s="20" t="str">
        <x:v>10mg / 100mg</x:v>
      </x:c>
      <x:c r="N22" s="20" t="str">
        <x:v>Pear</x:v>
      </x:c>
      <x:c r="O22" s="24" t="str">
        <x:v>Pear flavored capsules crafted with distillate for a sativa profile.</x:v>
      </x:c>
      <x:c r="P22" t="str">
        <x:v>Weight</x:v>
      </x:c>
      <x:c r="Q22" s="49" t="n">
        <x:f>ROUNDDOWN(S22/28.349523125,2)</x:f>
        <x:v>0.35</x:v>
      </x:c>
      <x:c r="R22" t="str">
        <x:v>oz</x:v>
      </x:c>
      <x:c r="S22" s="51" t="n">
        <x:v>10</x:v>
      </x:c>
      <x:c r="T22" t="str">
        <x:v>g</x:v>
      </x:c>
      <x:c r="U22" s="49" t="n">
        <x:f>S22/10</x:f>
        <x:v>1</x:v>
      </x:c>
      <x:c r="V22" s="53" t="str">
        <x:v>Estimated — synthetic 10-count capsule package</x:v>
      </x:c>
      <x:c r="W22" s="53" t="str">
        <x:v>https://www.topshelfdata.com/wa/shelton/sashas-cannabis/leaf_product_purchases?business=Fairwinds+Manufacturing&amp;from=2024-05-01</x:v>
      </x:c>
    </x:row>
    <x:row r="23">
      <x:c r="A23" s="20" t="str">
        <x:v>Journeyman</x:v>
      </x:c>
      <x:c r="B23" s="20" t="str">
        <x:v>Watermelon Softgels</x:v>
      </x:c>
      <x:c r="C23" s="20" t="str">
        <x:v>Capsules</x:v>
      </x:c>
      <x:c r="D23" s="20" t="str">
        <x:v>THC</x:v>
      </x:c>
      <x:c r="E23" s="20" t="str">
        <x:v>Rosin</x:v>
      </x:c>
      <x:c r="F23" s="20" t="str">
        <x:v>Indica</x:v>
      </x:c>
      <x:c r="G23" s="20"/>
      <x:c r="H23" s="20" t="str">
        <x:v>THC Only</x:v>
      </x:c>
      <x:c r="I23" s="20"/>
      <x:c r="J23" s="20" t="n">
        <x:v>10</x:v>
      </x:c>
      <x:c r="K23" s="20" t="n">
        <x:v>0</x:v>
      </x:c>
      <x:c r="L23" s="20" t="n">
        <x:v>0</x:v>
      </x:c>
      <x:c r="M23" s="20" t="str">
        <x:v>10mg / 100mg</x:v>
      </x:c>
      <x:c r="N23" s="20" t="str">
        <x:v>Watermelon</x:v>
      </x:c>
      <x:c r="O23" s="24" t="str">
        <x:v>Watermelon flavored capsules crafted with rosin for a indica profile.</x:v>
      </x:c>
      <x:c r="P23" t="str">
        <x:v>Weight</x:v>
      </x:c>
      <x:c r="Q23" s="49" t="n">
        <x:f>ROUNDDOWN(S23/28.349523125,2)</x:f>
        <x:v>0.35</x:v>
      </x:c>
      <x:c r="R23" t="str">
        <x:v>oz</x:v>
      </x:c>
      <x:c r="S23" s="51" t="n">
        <x:v>10</x:v>
      </x:c>
      <x:c r="T23" t="str">
        <x:v>g</x:v>
      </x:c>
      <x:c r="U23" s="49" t="n">
        <x:f>S23/10</x:f>
        <x:v>1</x:v>
      </x:c>
      <x:c r="V23" s="53" t="str">
        <x:v>Estimated — synthetic 10-count capsule package</x:v>
      </x:c>
      <x:c r="W23" s="53" t="str">
        <x:v>https://www.topshelfdata.com/wa/shelton/sashas-cannabis/leaf_product_purchases?business=Fairwinds+Manufacturing&amp;from=2024-05-01</x:v>
      </x:c>
    </x:row>
    <x:row r="24">
      <x:c r="A24" s="20" t="str">
        <x:v>Marmas</x:v>
      </x:c>
      <x:c r="B24" s="20" t="str">
        <x:v>Blackberry Gummies</x:v>
      </x:c>
      <x:c r="C24" s="20" t="str">
        <x:v>Gummies</x:v>
      </x:c>
      <x:c r="D24" s="20" t="str">
        <x:v>THC</x:v>
      </x:c>
      <x:c r="E24" s="20" t="str">
        <x:v>Live Rosin</x:v>
      </x:c>
      <x:c r="F24" s="20" t="str">
        <x:v>Sativa</x:v>
      </x:c>
      <x:c r="G24" s="20"/>
      <x:c r="H24" s="20" t="str">
        <x:v>THC Only</x:v>
      </x:c>
      <x:c r="I24" s="20"/>
      <x:c r="J24" s="20" t="n">
        <x:v>10</x:v>
      </x:c>
      <x:c r="K24" s="20" t="n">
        <x:v>0</x:v>
      </x:c>
      <x:c r="L24" s="20" t="n">
        <x:v>0</x:v>
      </x:c>
      <x:c r="M24" s="20" t="str">
        <x:v>10mg / 100mg</x:v>
      </x:c>
      <x:c r="N24" s="20" t="str">
        <x:v>Blackberry</x:v>
      </x:c>
      <x:c r="O24" s="24" t="str">
        <x:v>Blackberry flavored gummies crafted with live rosin for a sativa profile.</x:v>
      </x:c>
      <x:c r="P24" t="str">
        <x:v>Weight</x:v>
      </x:c>
      <x:c r="Q24" s="49" t="n">
        <x:f>ROUNDDOWN(S24/28.349523125,2)</x:f>
        <x:v>1.76</x:v>
      </x:c>
      <x:c r="R24" t="str">
        <x:v>oz</x:v>
      </x:c>
      <x:c r="S24" s="51" t="n">
        <x:v>50</x:v>
      </x:c>
      <x:c r="T24" t="str">
        <x:v>g</x:v>
      </x:c>
      <x:c r="U24" s="49" t="n">
        <x:f>S24/10</x:f>
        <x:v>5</x:v>
      </x:c>
      <x:c r="V24" s="53" t="str">
        <x:v>Researched — Marmas 10-pack examples in WA traceability data</x:v>
      </x:c>
      <x:c r="W24" s="53" t="str">
        <x:v>https://www.topshelfdata.com/wa/tacoma/diamond-green/leaf_product_purchases?business=Mt+Baker+Homegrown&amp;from=2024-07-01</x:v>
      </x:c>
    </x:row>
    <x:row r="25">
      <x:c r="A25" s="20" t="str">
        <x:v>Marmas</x:v>
      </x:c>
      <x:c r="B25" s="20" t="str">
        <x:v>Huckleberry Gummies</x:v>
      </x:c>
      <x:c r="C25" s="20" t="str">
        <x:v>Gummies</x:v>
      </x:c>
      <x:c r="D25" s="20" t="str">
        <x:v>THC</x:v>
      </x:c>
      <x:c r="E25" s="20" t="str">
        <x:v>Live Resin</x:v>
      </x:c>
      <x:c r="F25" s="20" t="str">
        <x:v>Indica</x:v>
      </x:c>
      <x:c r="G25" s="20"/>
      <x:c r="H25" s="20" t="str">
        <x:v>THC Only</x:v>
      </x:c>
      <x:c r="I25" s="20"/>
      <x:c r="J25" s="20" t="n">
        <x:v>10</x:v>
      </x:c>
      <x:c r="K25" s="20" t="n">
        <x:v>0</x:v>
      </x:c>
      <x:c r="L25" s="20" t="n">
        <x:v>0</x:v>
      </x:c>
      <x:c r="M25" s="20" t="str">
        <x:v>10mg / 100mg</x:v>
      </x:c>
      <x:c r="N25" s="20" t="str">
        <x:v>Huckleberry</x:v>
      </x:c>
      <x:c r="O25" s="24" t="str">
        <x:v>Huckleberry flavored gummies crafted with live resin for a indica profile.</x:v>
      </x:c>
      <x:c r="P25" t="str">
        <x:v>Weight</x:v>
      </x:c>
      <x:c r="Q25" s="49" t="n">
        <x:f>ROUNDDOWN(S25/28.349523125,2)</x:f>
        <x:v>1.76</x:v>
      </x:c>
      <x:c r="R25" t="str">
        <x:v>oz</x:v>
      </x:c>
      <x:c r="S25" s="51" t="n">
        <x:v>50</x:v>
      </x:c>
      <x:c r="T25" t="str">
        <x:v>g</x:v>
      </x:c>
      <x:c r="U25" s="49" t="n">
        <x:f>S25/10</x:f>
        <x:v>5</x:v>
      </x:c>
      <x:c r="V25" s="53" t="str">
        <x:v>Researched — Marmas 10-pack examples in WA traceability data</x:v>
      </x:c>
      <x:c r="W25" s="53" t="str">
        <x:v>https://www.topshelfdata.com/wa/tacoma/diamond-green/leaf_product_purchases?business=Mt+Baker+Homegrown&amp;from=2024-07-01</x:v>
      </x:c>
    </x:row>
    <x:row r="26">
      <x:c r="A26" s="20" t="str">
        <x:v>Marmas</x:v>
      </x:c>
      <x:c r="B26" s="20" t="str">
        <x:v>Pineapple Gummies</x:v>
      </x:c>
      <x:c r="C26" s="20" t="str">
        <x:v>Gummies</x:v>
      </x:c>
      <x:c r="D26" s="20" t="str">
        <x:v>THC</x:v>
      </x:c>
      <x:c r="E26" s="20" t="str">
        <x:v>Live Resin</x:v>
      </x:c>
      <x:c r="F26" s="20" t="str">
        <x:v>Hybrid</x:v>
      </x:c>
      <x:c r="G26" s="20"/>
      <x:c r="H26" s="20" t="str">
        <x:v>THC Only</x:v>
      </x:c>
      <x:c r="I26" s="20"/>
      <x:c r="J26" s="20" t="n">
        <x:v>10</x:v>
      </x:c>
      <x:c r="K26" s="20" t="n">
        <x:v>0</x:v>
      </x:c>
      <x:c r="L26" s="20" t="n">
        <x:v>0</x:v>
      </x:c>
      <x:c r="M26" s="20" t="str">
        <x:v>10mg / 100mg</x:v>
      </x:c>
      <x:c r="N26" s="20" t="str">
        <x:v>Pineapple</x:v>
      </x:c>
      <x:c r="O26" s="24" t="str">
        <x:v>Pineapple flavored gummies crafted with live resin for a hybrid profile.</x:v>
      </x:c>
      <x:c r="P26" t="str">
        <x:v>Weight</x:v>
      </x:c>
      <x:c r="Q26" s="49" t="n">
        <x:f>ROUNDDOWN(S26/28.349523125,2)</x:f>
        <x:v>1.76</x:v>
      </x:c>
      <x:c r="R26" t="str">
        <x:v>oz</x:v>
      </x:c>
      <x:c r="S26" s="51" t="n">
        <x:v>50</x:v>
      </x:c>
      <x:c r="T26" t="str">
        <x:v>g</x:v>
      </x:c>
      <x:c r="U26" s="49" t="n">
        <x:f>S26/10</x:f>
        <x:v>5</x:v>
      </x:c>
      <x:c r="V26" s="53" t="str">
        <x:v>Researched — Marmas 10-pack examples in WA traceability data</x:v>
      </x:c>
      <x:c r="W26" s="53" t="str">
        <x:v>https://www.topshelfdata.com/wa/tacoma/diamond-green/leaf_product_purchases?business=Mt+Baker+Homegrown&amp;from=2024-07-01</x:v>
      </x:c>
    </x:row>
    <x:row r="27">
      <x:c r="A27" s="20" t="str">
        <x:v>Pioneer Squares</x:v>
      </x:c>
      <x:c r="B27" s="20" t="str">
        <x:v>Blood Orange Chocolate Squares</x:v>
      </x:c>
      <x:c r="C27" s="20" t="str">
        <x:v>Chocolate</x:v>
      </x:c>
      <x:c r="D27" s="20" t="str">
        <x:v>THC</x:v>
      </x:c>
      <x:c r="E27" s="20" t="str">
        <x:v>Distillate</x:v>
      </x:c>
      <x:c r="F27" s="20" t="str">
        <x:v>Hybrid</x:v>
      </x:c>
      <x:c r="G27" s="20"/>
      <x:c r="H27" s="20" t="str">
        <x:v>THC Only</x:v>
      </x:c>
      <x:c r="I27" s="20"/>
      <x:c r="J27" s="20" t="n">
        <x:v>10</x:v>
      </x:c>
      <x:c r="K27" s="20" t="n">
        <x:v>0</x:v>
      </x:c>
      <x:c r="L27" s="20" t="n">
        <x:v>0</x:v>
      </x:c>
      <x:c r="M27" s="20" t="str">
        <x:v>10mg / 100mg</x:v>
      </x:c>
      <x:c r="N27" s="20" t="str">
        <x:v>Blood Orange</x:v>
      </x:c>
      <x:c r="O27" s="24" t="str">
        <x:v>Blood Orange flavored chocolate crafted with distillate for a hybrid profile.</x:v>
      </x:c>
      <x:c r="P27" t="str">
        <x:v>Weight</x:v>
      </x:c>
      <x:c r="Q27" s="49" t="n">
        <x:f>ROUNDDOWN(S27/28.349523125,2)</x:f>
        <x:v>3.49</x:v>
      </x:c>
      <x:c r="R27" t="str">
        <x:v>oz</x:v>
      </x:c>
      <x:c r="S27" s="51" t="n">
        <x:v>99.2</x:v>
      </x:c>
      <x:c r="T27" t="str">
        <x:v>g</x:v>
      </x:c>
      <x:c r="U27" s="49" t="n">
        <x:f>S27/10</x:f>
        <x:v>9.92</x:v>
      </x:c>
      <x:c r="V27" s="53" t="str">
        <x:v>Researched — Pioneer Squares 10-pack WA traceability example</x:v>
      </x:c>
      <x:c r="W27" s="53" t="str">
        <x:v>https://www.topshelfdata.com/wa/tacoma/the-gallery-parkland/leaf_product_purchases?business=Stryps&amp;from=2024-04-01</x:v>
      </x:c>
    </x:row>
    <x:row r="28">
      <x:c r="A28" s="20" t="str">
        <x:v>Pioneer Squares</x:v>
      </x:c>
      <x:c r="B28" s="20" t="str">
        <x:v>Lemon Chocolate Squares</x:v>
      </x:c>
      <x:c r="C28" s="20" t="str">
        <x:v>Chocolate</x:v>
      </x:c>
      <x:c r="D28" s="20" t="str">
        <x:v>THC</x:v>
      </x:c>
      <x:c r="E28" s="20" t="str">
        <x:v>Rosin</x:v>
      </x:c>
      <x:c r="F28" s="20" t="str">
        <x:v>Sativa</x:v>
      </x:c>
      <x:c r="G28" s="20"/>
      <x:c r="H28" s="20" t="str">
        <x:v>THC Only</x:v>
      </x:c>
      <x:c r="I28" s="20"/>
      <x:c r="J28" s="20" t="n">
        <x:v>10</x:v>
      </x:c>
      <x:c r="K28" s="20" t="n">
        <x:v>0</x:v>
      </x:c>
      <x:c r="L28" s="20" t="n">
        <x:v>0</x:v>
      </x:c>
      <x:c r="M28" s="20" t="str">
        <x:v>10mg / 100mg</x:v>
      </x:c>
      <x:c r="N28" s="20" t="str">
        <x:v>Lemon</x:v>
      </x:c>
      <x:c r="O28" s="24" t="str">
        <x:v>Lemon flavored chocolate crafted with rosin for a sativa profile.</x:v>
      </x:c>
      <x:c r="P28" t="str">
        <x:v>Weight</x:v>
      </x:c>
      <x:c r="Q28" s="49" t="n">
        <x:f>ROUNDDOWN(S28/28.349523125,2)</x:f>
        <x:v>3.49</x:v>
      </x:c>
      <x:c r="R28" t="str">
        <x:v>oz</x:v>
      </x:c>
      <x:c r="S28" s="51" t="n">
        <x:v>99.2</x:v>
      </x:c>
      <x:c r="T28" t="str">
        <x:v>g</x:v>
      </x:c>
      <x:c r="U28" s="49" t="n">
        <x:f>S28/10</x:f>
        <x:v>9.92</x:v>
      </x:c>
      <x:c r="V28" s="53" t="str">
        <x:v>Researched — Pioneer Squares 10-pack WA traceability example</x:v>
      </x:c>
      <x:c r="W28" s="53" t="str">
        <x:v>https://www.topshelfdata.com/wa/tacoma/the-gallery-parkland/leaf_product_purchases?business=Stryps&amp;from=2024-04-01</x:v>
      </x:c>
    </x:row>
    <x:row r="29">
      <x:c r="A29" s="20" t="str">
        <x:v>Pioneer Squares</x:v>
      </x:c>
      <x:c r="B29" s="20" t="str">
        <x:v>Raspberry Chocolate Squares</x:v>
      </x:c>
      <x:c r="C29" s="20" t="str">
        <x:v>Chocolate</x:v>
      </x:c>
      <x:c r="D29" s="20" t="str">
        <x:v>THC</x:v>
      </x:c>
      <x:c r="E29" s="20" t="str">
        <x:v>Rosin</x:v>
      </x:c>
      <x:c r="F29" s="20" t="str">
        <x:v>Indica</x:v>
      </x:c>
      <x:c r="G29" s="20"/>
      <x:c r="H29" s="20" t="str">
        <x:v>THC Only</x:v>
      </x:c>
      <x:c r="I29" s="20"/>
      <x:c r="J29" s="20" t="n">
        <x:v>10</x:v>
      </x:c>
      <x:c r="K29" s="20" t="n">
        <x:v>0</x:v>
      </x:c>
      <x:c r="L29" s="20" t="n">
        <x:v>0</x:v>
      </x:c>
      <x:c r="M29" s="20" t="str">
        <x:v>10mg / 100mg</x:v>
      </x:c>
      <x:c r="N29" s="20" t="str">
        <x:v>Raspberry</x:v>
      </x:c>
      <x:c r="O29" s="24" t="str">
        <x:v>Raspberry flavored chocolate crafted with rosin for a indica profile.</x:v>
      </x:c>
      <x:c r="P29" t="str">
        <x:v>Weight</x:v>
      </x:c>
      <x:c r="Q29" s="49" t="n">
        <x:f>ROUNDDOWN(S29/28.349523125,2)</x:f>
        <x:v>3.49</x:v>
      </x:c>
      <x:c r="R29" t="str">
        <x:v>oz</x:v>
      </x:c>
      <x:c r="S29" s="51" t="n">
        <x:v>99.2</x:v>
      </x:c>
      <x:c r="T29" t="str">
        <x:v>g</x:v>
      </x:c>
      <x:c r="U29" s="49" t="n">
        <x:f>S29/10</x:f>
        <x:v>9.92</x:v>
      </x:c>
      <x:c r="V29" s="53" t="str">
        <x:v>Researched — Pioneer Squares 10-pack WA traceability example</x:v>
      </x:c>
      <x:c r="W29" s="53" t="str">
        <x:v>https://www.topshelfdata.com/wa/tacoma/the-gallery-parkland/leaf_product_purchases?business=Stryps&amp;from=2024-04-01</x:v>
      </x:c>
    </x:row>
    <x:row r="30">
      <x:c r="A30" s="20" t="str">
        <x:v>Swifts</x:v>
      </x:c>
      <x:c r="B30" s="20" t="str">
        <x:v>Blue Raspberry Fruit Drops</x:v>
      </x:c>
      <x:c r="C30" s="20" t="str">
        <x:v>Hard Candy</x:v>
      </x:c>
      <x:c r="D30" s="20" t="str">
        <x:v>THC</x:v>
      </x:c>
      <x:c r="E30" s="20" t="str">
        <x:v>Live Resin</x:v>
      </x:c>
      <x:c r="F30" s="20" t="str">
        <x:v>Indica</x:v>
      </x:c>
      <x:c r="G30" s="20"/>
      <x:c r="H30" s="20" t="str">
        <x:v>THC Only</x:v>
      </x:c>
      <x:c r="I30" s="20"/>
      <x:c r="J30" s="20" t="n">
        <x:v>10</x:v>
      </x:c>
      <x:c r="K30" s="20" t="n">
        <x:v>0</x:v>
      </x:c>
      <x:c r="L30" s="20" t="n">
        <x:v>0</x:v>
      </x:c>
      <x:c r="M30" s="20" t="str">
        <x:v>10mg / 100mg</x:v>
      </x:c>
      <x:c r="N30" s="20" t="str">
        <x:v>Blue Raspberry</x:v>
      </x:c>
      <x:c r="O30" s="24" t="str">
        <x:v>Blue Raspberry flavored hard candy crafted with live resin for a indica profile.</x:v>
      </x:c>
      <x:c r="P30" t="str">
        <x:v>Weight</x:v>
      </x:c>
      <x:c r="Q30" s="49" t="n">
        <x:f>ROUNDDOWN(S30/28.349523125,2)</x:f>
        <x:v>1.41</x:v>
      </x:c>
      <x:c r="R30" t="str">
        <x:v>oz</x:v>
      </x:c>
      <x:c r="S30" s="51" t="n">
        <x:v>40</x:v>
      </x:c>
      <x:c r="T30" t="str">
        <x:v>g</x:v>
      </x:c>
      <x:c r="U30" s="49" t="n">
        <x:f>S30/10</x:f>
        <x:v>4</x:v>
      </x:c>
      <x:c r="V30" s="53" t="str">
        <x:v>Estimated — synthetic SKU; comparable 10-piece hard-candy package</x:v>
      </x:c>
      <x:c r="W30" s="53" t="str">
        <x:v>https://www.washingtonweedstores.com/brands/Swifts</x:v>
      </x:c>
    </x:row>
    <x:row r="31">
      <x:c r="A31" s="20" t="str">
        <x:v>Swifts</x:v>
      </x:c>
      <x:c r="B31" s="20" t="str">
        <x:v>Mango Fruit Drops</x:v>
      </x:c>
      <x:c r="C31" s="20" t="str">
        <x:v>Hard Candy</x:v>
      </x:c>
      <x:c r="D31" s="20" t="str">
        <x:v>THC</x:v>
      </x:c>
      <x:c r="E31" s="20" t="str">
        <x:v>Live Rosin</x:v>
      </x:c>
      <x:c r="F31" s="20" t="str">
        <x:v>Hybrid</x:v>
      </x:c>
      <x:c r="G31" s="20"/>
      <x:c r="H31" s="20" t="str">
        <x:v>THC Only</x:v>
      </x:c>
      <x:c r="I31" s="20"/>
      <x:c r="J31" s="20" t="n">
        <x:v>10</x:v>
      </x:c>
      <x:c r="K31" s="20" t="n">
        <x:v>0</x:v>
      </x:c>
      <x:c r="L31" s="20" t="n">
        <x:v>0</x:v>
      </x:c>
      <x:c r="M31" s="20" t="str">
        <x:v>10mg / 100mg</x:v>
      </x:c>
      <x:c r="N31" s="20" t="str">
        <x:v>Mango</x:v>
      </x:c>
      <x:c r="O31" s="24" t="str">
        <x:v>Mango flavored hard candy crafted with live rosin for a hybrid profile.</x:v>
      </x:c>
      <x:c r="P31" t="str">
        <x:v>Weight</x:v>
      </x:c>
      <x:c r="Q31" s="49" t="n">
        <x:f>ROUNDDOWN(S31/28.349523125,2)</x:f>
        <x:v>1.41</x:v>
      </x:c>
      <x:c r="R31" t="str">
        <x:v>oz</x:v>
      </x:c>
      <x:c r="S31" s="51" t="n">
        <x:v>40</x:v>
      </x:c>
      <x:c r="T31" t="str">
        <x:v>g</x:v>
      </x:c>
      <x:c r="U31" s="49" t="n">
        <x:f>S31/10</x:f>
        <x:v>4</x:v>
      </x:c>
      <x:c r="V31" s="53" t="str">
        <x:v>Estimated — synthetic SKU; comparable 10-piece hard-candy package</x:v>
      </x:c>
      <x:c r="W31" s="53" t="str">
        <x:v>https://www.washingtonweedstores.com/brands/Swifts</x:v>
      </x:c>
    </x:row>
    <x:row r="32">
      <x:c r="A32" s="20" t="str">
        <x:v>Swifts</x:v>
      </x:c>
      <x:c r="B32" s="20" t="str">
        <x:v>Strawberry Fruit Drops</x:v>
      </x:c>
      <x:c r="C32" s="20" t="str">
        <x:v>Hard Candy</x:v>
      </x:c>
      <x:c r="D32" s="20" t="str">
        <x:v>THC</x:v>
      </x:c>
      <x:c r="E32" s="20" t="str">
        <x:v>Live Rosin</x:v>
      </x:c>
      <x:c r="F32" s="20" t="str">
        <x:v>Sativa</x:v>
      </x:c>
      <x:c r="G32" s="20"/>
      <x:c r="H32" s="20" t="str">
        <x:v>THC Only</x:v>
      </x:c>
      <x:c r="I32" s="20"/>
      <x:c r="J32" s="20" t="n">
        <x:v>10</x:v>
      </x:c>
      <x:c r="K32" s="20" t="n">
        <x:v>0</x:v>
      </x:c>
      <x:c r="L32" s="20" t="n">
        <x:v>0</x:v>
      </x:c>
      <x:c r="M32" s="20" t="str">
        <x:v>10mg / 100mg</x:v>
      </x:c>
      <x:c r="N32" s="20" t="str">
        <x:v>Strawberry</x:v>
      </x:c>
      <x:c r="O32" s="24" t="str">
        <x:v>Strawberry flavored hard candy crafted with live rosin for a sativa profile.</x:v>
      </x:c>
      <x:c r="P32" t="str">
        <x:v>Weight</x:v>
      </x:c>
      <x:c r="Q32" s="49" t="n">
        <x:f>ROUNDDOWN(S32/28.349523125,2)</x:f>
        <x:v>1.41</x:v>
      </x:c>
      <x:c r="R32" t="str">
        <x:v>oz</x:v>
      </x:c>
      <x:c r="S32" s="51" t="n">
        <x:v>40</x:v>
      </x:c>
      <x:c r="T32" t="str">
        <x:v>g</x:v>
      </x:c>
      <x:c r="U32" s="49" t="n">
        <x:f>S32/10</x:f>
        <x:v>4</x:v>
      </x:c>
      <x:c r="V32" s="53" t="str">
        <x:v>Estimated — synthetic SKU; comparable 10-piece hard-candy package</x:v>
      </x:c>
      <x:c r="W32" s="53" t="str">
        <x:v>https://www.washingtonweedstores.com/brands/Swifts</x:v>
      </x:c>
    </x:row>
    <x:row r="33">
      <x:c r="A33" s="20" t="str">
        <x:v>Verdelux</x:v>
      </x:c>
      <x:c r="B33" s="20" t="str">
        <x:v>Cherry Lime Cookie Bites</x:v>
      </x:c>
      <x:c r="C33" s="20" t="str">
        <x:v>Baked Goods</x:v>
      </x:c>
      <x:c r="D33" s="20" t="str">
        <x:v>THC</x:v>
      </x:c>
      <x:c r="E33" s="20" t="str">
        <x:v>Rosin</x:v>
      </x:c>
      <x:c r="F33" s="20" t="str">
        <x:v>Sativa</x:v>
      </x:c>
      <x:c r="G33" s="20"/>
      <x:c r="H33" s="20" t="str">
        <x:v>THC Only</x:v>
      </x:c>
      <x:c r="I33" s="20"/>
      <x:c r="J33" s="20" t="n">
        <x:v>10</x:v>
      </x:c>
      <x:c r="K33" s="20" t="n">
        <x:v>0</x:v>
      </x:c>
      <x:c r="L33" s="20" t="n">
        <x:v>0</x:v>
      </x:c>
      <x:c r="M33" s="20" t="str">
        <x:v>10mg / 100mg</x:v>
      </x:c>
      <x:c r="N33" s="20" t="str">
        <x:v>Cherry Lime</x:v>
      </x:c>
      <x:c r="O33" s="24" t="str">
        <x:v>Cherry Lime flavored baked goods crafted with rosin for a sativa profile.</x:v>
      </x:c>
      <x:c r="P33" t="str">
        <x:v>Weight</x:v>
      </x:c>
      <x:c r="Q33" s="49" t="n">
        <x:f>ROUNDDOWN(S33/28.349523125,2)</x:f>
        <x:v>3.52</x:v>
      </x:c>
      <x:c r="R33" t="str">
        <x:v>oz</x:v>
      </x:c>
      <x:c r="S33" s="51" t="n">
        <x:v>100</x:v>
      </x:c>
      <x:c r="T33" t="str">
        <x:v>g</x:v>
      </x:c>
      <x:c r="U33" s="49" t="n">
        <x:f>S33/10</x:f>
        <x:v>10</x:v>
      </x:c>
      <x:c r="V33" s="53" t="str">
        <x:v>Estimated — synthetic cookie-bite SKU; comparable WA confection weight</x:v>
      </x:c>
      <x:c r="W33" s="53" t="str">
        <x:v>https://www.topshelfdata.com/wa/clarkston/greenfield-company-cannabis-mercantile/leaf_product_purchases?business=&amp;from=2023-03-01</x:v>
      </x:c>
    </x:row>
    <x:row r="34">
      <x:c r="A34" s="20" t="str">
        <x:v>Verdelux</x:v>
      </x:c>
      <x:c r="B34" s="20" t="str">
        <x:v>Peach Cookie Bites</x:v>
      </x:c>
      <x:c r="C34" s="20" t="str">
        <x:v>Baked Goods</x:v>
      </x:c>
      <x:c r="D34" s="20" t="str">
        <x:v>THC</x:v>
      </x:c>
      <x:c r="E34" s="20" t="str">
        <x:v>Distillate</x:v>
      </x:c>
      <x:c r="F34" s="20" t="str">
        <x:v>Indica</x:v>
      </x:c>
      <x:c r="G34" s="20"/>
      <x:c r="H34" s="20" t="str">
        <x:v>THC Only</x:v>
      </x:c>
      <x:c r="I34" s="20"/>
      <x:c r="J34" s="20" t="n">
        <x:v>10</x:v>
      </x:c>
      <x:c r="K34" s="20" t="n">
        <x:v>0</x:v>
      </x:c>
      <x:c r="L34" s="20" t="n">
        <x:v>0</x:v>
      </x:c>
      <x:c r="M34" s="20" t="str">
        <x:v>10mg / 100mg</x:v>
      </x:c>
      <x:c r="N34" s="20" t="str">
        <x:v>Peach</x:v>
      </x:c>
      <x:c r="O34" s="24" t="str">
        <x:v>Peach flavored baked goods crafted with distillate for a indica profile.</x:v>
      </x:c>
      <x:c r="P34" t="str">
        <x:v>Weight</x:v>
      </x:c>
      <x:c r="Q34" s="49" t="n">
        <x:f>ROUNDDOWN(S34/28.349523125,2)</x:f>
        <x:v>3.52</x:v>
      </x:c>
      <x:c r="R34" t="str">
        <x:v>oz</x:v>
      </x:c>
      <x:c r="S34" s="51" t="n">
        <x:v>100</x:v>
      </x:c>
      <x:c r="T34" t="str">
        <x:v>g</x:v>
      </x:c>
      <x:c r="U34" s="49" t="n">
        <x:f>S34/10</x:f>
        <x:v>10</x:v>
      </x:c>
      <x:c r="V34" s="53" t="str">
        <x:v>Estimated — synthetic cookie-bite SKU; comparable WA confection weight</x:v>
      </x:c>
      <x:c r="W34" s="53" t="str">
        <x:v>https://www.topshelfdata.com/wa/clarkston/greenfield-company-cannabis-mercantile/leaf_product_purchases?business=&amp;from=2023-03-01</x:v>
      </x:c>
    </x:row>
    <x:row r="35">
      <x:c r="A35" s="20" t="str">
        <x:v>Verdelux</x:v>
      </x:c>
      <x:c r="B35" s="20" t="str">
        <x:v>Tangerine Cookie Bites</x:v>
      </x:c>
      <x:c r="C35" s="20" t="str">
        <x:v>Baked Goods</x:v>
      </x:c>
      <x:c r="D35" s="20" t="str">
        <x:v>THC</x:v>
      </x:c>
      <x:c r="E35" s="20" t="str">
        <x:v>Distillate</x:v>
      </x:c>
      <x:c r="F35" s="20" t="str">
        <x:v>Hybrid</x:v>
      </x:c>
      <x:c r="G35" s="20"/>
      <x:c r="H35" s="20" t="str">
        <x:v>THC Only</x:v>
      </x:c>
      <x:c r="I35" s="20"/>
      <x:c r="J35" s="20" t="n">
        <x:v>10</x:v>
      </x:c>
      <x:c r="K35" s="20" t="n">
        <x:v>0</x:v>
      </x:c>
      <x:c r="L35" s="20" t="n">
        <x:v>0</x:v>
      </x:c>
      <x:c r="M35" s="20" t="str">
        <x:v>10mg / 100mg</x:v>
      </x:c>
      <x:c r="N35" s="20" t="str">
        <x:v>Tangerine</x:v>
      </x:c>
      <x:c r="O35" s="24" t="str">
        <x:v>Tangerine flavored baked goods crafted with distillate for a hybrid profile.</x:v>
      </x:c>
      <x:c r="P35" t="str">
        <x:v>Weight</x:v>
      </x:c>
      <x:c r="Q35" s="49" t="n">
        <x:f>ROUNDDOWN(S35/28.349523125,2)</x:f>
        <x:v>3.52</x:v>
      </x:c>
      <x:c r="R35" t="str">
        <x:v>oz</x:v>
      </x:c>
      <x:c r="S35" s="51" t="n">
        <x:v>100</x:v>
      </x:c>
      <x:c r="T35" t="str">
        <x:v>g</x:v>
      </x:c>
      <x:c r="U35" s="49" t="n">
        <x:f>S35/10</x:f>
        <x:v>10</x:v>
      </x:c>
      <x:c r="V35" s="53" t="str">
        <x:v>Estimated — synthetic cookie-bite SKU; comparable WA confection weight</x:v>
      </x:c>
      <x:c r="W35" s="53" t="str">
        <x:v>https://www.topshelfdata.com/wa/clarkston/greenfield-company-cannabis-mercantile/leaf_product_purchases?business=&amp;from=2023-03-01</x:v>
      </x:c>
    </x:row>
    <x:row r="36">
      <x:c r="A36" s="20" t="str">
        <x:v>Wyld</x:v>
      </x:c>
      <x:c r="B36" s="20" t="str">
        <x:v>Dark Chocolate Softgels</x:v>
      </x:c>
      <x:c r="C36" s="20" t="str">
        <x:v>Capsules</x:v>
      </x:c>
      <x:c r="D36" s="20" t="str">
        <x:v>THC</x:v>
      </x:c>
      <x:c r="E36" s="20" t="str">
        <x:v>Live Rosin</x:v>
      </x:c>
      <x:c r="F36" s="20" t="str">
        <x:v>Hybrid</x:v>
      </x:c>
      <x:c r="G36" s="20"/>
      <x:c r="H36" s="20" t="str">
        <x:v>THC Only</x:v>
      </x:c>
      <x:c r="I36" s="20"/>
      <x:c r="J36" s="20" t="n">
        <x:v>10</x:v>
      </x:c>
      <x:c r="K36" s="20" t="n">
        <x:v>0</x:v>
      </x:c>
      <x:c r="L36" s="20" t="n">
        <x:v>0</x:v>
      </x:c>
      <x:c r="M36" s="20" t="str">
        <x:v>10mg / 100mg</x:v>
      </x:c>
      <x:c r="N36" s="20" t="str">
        <x:v>Dark Chocolate</x:v>
      </x:c>
      <x:c r="O36" s="24" t="str">
        <x:v>Dark Chocolate flavored capsules crafted with live rosin for a hybrid profile.</x:v>
      </x:c>
      <x:c r="P36" t="str">
        <x:v>Weight</x:v>
      </x:c>
      <x:c r="Q36" s="49" t="n">
        <x:f>ROUNDDOWN(S36/28.349523125,2)</x:f>
        <x:v>0.35</x:v>
      </x:c>
      <x:c r="R36" t="str">
        <x:v>oz</x:v>
      </x:c>
      <x:c r="S36" s="51" t="n">
        <x:v>10</x:v>
      </x:c>
      <x:c r="T36" t="str">
        <x:v>g</x:v>
      </x:c>
      <x:c r="U36" s="49" t="n">
        <x:f>S36/10</x:f>
        <x:v>1</x:v>
      </x:c>
      <x:c r="V36" s="53" t="str">
        <x:v>Estimated — synthetic 10-count capsule package</x:v>
      </x:c>
      <x:c r="W36" s="53" t="str">
        <x:v>https://www.topshelfdata.com/wa/shelton/sashas-cannabis/leaf_product_purchases?business=Fairwinds+Manufacturing&amp;from=2024-05-01</x:v>
      </x:c>
    </x:row>
    <x:row r="37">
      <x:c r="A37" s="20" t="str">
        <x:v>Wyld</x:v>
      </x:c>
      <x:c r="B37" s="20" t="str">
        <x:v>Pear Softgels</x:v>
      </x:c>
      <x:c r="C37" s="20" t="str">
        <x:v>Capsules</x:v>
      </x:c>
      <x:c r="D37" s="20" t="str">
        <x:v>THC</x:v>
      </x:c>
      <x:c r="E37" s="20" t="str">
        <x:v>Live Resin</x:v>
      </x:c>
      <x:c r="F37" s="20" t="str">
        <x:v>Sativa</x:v>
      </x:c>
      <x:c r="G37" s="20"/>
      <x:c r="H37" s="20" t="str">
        <x:v>THC Only</x:v>
      </x:c>
      <x:c r="I37" s="20"/>
      <x:c r="J37" s="20" t="n">
        <x:v>10</x:v>
      </x:c>
      <x:c r="K37" s="20" t="n">
        <x:v>0</x:v>
      </x:c>
      <x:c r="L37" s="20" t="n">
        <x:v>0</x:v>
      </x:c>
      <x:c r="M37" s="20" t="str">
        <x:v>10mg / 100mg</x:v>
      </x:c>
      <x:c r="N37" s="20" t="str">
        <x:v>Pear</x:v>
      </x:c>
      <x:c r="O37" s="24" t="str">
        <x:v>Pear flavored capsules crafted with live resin for a sativa profile.</x:v>
      </x:c>
      <x:c r="P37" t="str">
        <x:v>Weight</x:v>
      </x:c>
      <x:c r="Q37" s="49" t="n">
        <x:f>ROUNDDOWN(S37/28.349523125,2)</x:f>
        <x:v>0.35</x:v>
      </x:c>
      <x:c r="R37" t="str">
        <x:v>oz</x:v>
      </x:c>
      <x:c r="S37" s="51" t="n">
        <x:v>10</x:v>
      </x:c>
      <x:c r="T37" t="str">
        <x:v>g</x:v>
      </x:c>
      <x:c r="U37" s="49" t="n">
        <x:f>S37/10</x:f>
        <x:v>1</x:v>
      </x:c>
      <x:c r="V37" s="53" t="str">
        <x:v>Estimated — synthetic 10-count capsule package</x:v>
      </x:c>
      <x:c r="W37" s="53" t="str">
        <x:v>https://www.topshelfdata.com/wa/shelton/sashas-cannabis/leaf_product_purchases?business=Fairwinds+Manufacturing&amp;from=2024-05-01</x:v>
      </x:c>
    </x:row>
    <x:row r="38">
      <x:c r="A38" s="20" t="str">
        <x:v>Wyld</x:v>
      </x:c>
      <x:c r="B38" s="20" t="str">
        <x:v>Watermelon Softgels</x:v>
      </x:c>
      <x:c r="C38" s="20" t="str">
        <x:v>Capsules</x:v>
      </x:c>
      <x:c r="D38" s="20" t="str">
        <x:v>THC</x:v>
      </x:c>
      <x:c r="E38" s="20" t="str">
        <x:v>Live Resin</x:v>
      </x:c>
      <x:c r="F38" s="20" t="str">
        <x:v>Indica</x:v>
      </x:c>
      <x:c r="G38" s="20"/>
      <x:c r="H38" s="20" t="str">
        <x:v>THC Only</x:v>
      </x:c>
      <x:c r="I38" s="20"/>
      <x:c r="J38" s="20" t="n">
        <x:v>10</x:v>
      </x:c>
      <x:c r="K38" s="20" t="n">
        <x:v>0</x:v>
      </x:c>
      <x:c r="L38" s="20" t="n">
        <x:v>0</x:v>
      </x:c>
      <x:c r="M38" s="20" t="str">
        <x:v>10mg / 100mg</x:v>
      </x:c>
      <x:c r="N38" s="20" t="str">
        <x:v>Watermelon</x:v>
      </x:c>
      <x:c r="O38" s="24" t="str">
        <x:v>Watermelon flavored capsules crafted with live resin for a indica profile.</x:v>
      </x:c>
      <x:c r="P38" t="str">
        <x:v>Weight</x:v>
      </x:c>
      <x:c r="Q38" s="49" t="n">
        <x:f>ROUNDDOWN(S38/28.349523125,2)</x:f>
        <x:v>0.35</x:v>
      </x:c>
      <x:c r="R38" t="str">
        <x:v>oz</x:v>
      </x:c>
      <x:c r="S38" s="51" t="n">
        <x:v>10</x:v>
      </x:c>
      <x:c r="T38" t="str">
        <x:v>g</x:v>
      </x:c>
      <x:c r="U38" s="49" t="n">
        <x:f>S38/10</x:f>
        <x:v>1</x:v>
      </x:c>
      <x:c r="V38" s="53" t="str">
        <x:v>Estimated — synthetic 10-count capsule package</x:v>
      </x:c>
      <x:c r="W38" s="53" t="str">
        <x:v>https://www.topshelfdata.com/wa/shelton/sashas-cannabis/leaf_product_purchases?business=Fairwinds+Manufacturing&amp;from=2024-05-01</x:v>
      </x:c>
    </x:row>
    <x:row r="39">
      <x:c r="A39" s="20"/>
      <x:c r="B39" s="20"/>
      <x:c r="C39" s="20"/>
      <x:c r="D39" s="20"/>
      <x:c r="E39" s="20"/>
      <x:c r="F39" s="20"/>
      <x:c r="G39" s="20"/>
      <x:c r="H39" s="20"/>
      <x:c r="I39" s="20"/>
      <x:c r="J39" s="20"/>
      <x:c r="K39" s="20"/>
      <x:c r="L39" s="20"/>
      <x:c r="M39" s="20"/>
      <x:c r="N39" s="20"/>
      <x:c r="O39" s="24"/>
      <x:c r="P39"/>
      <x:c r="Q39" s="49"/>
      <x:c r="R39"/>
      <x:c r="S39" s="51"/>
      <x:c r="T39"/>
      <x:c r="U39" s="49"/>
      <x:c r="V39" s="53"/>
      <x:c r="W39" s="53"/>
    </x:row>
    <x:row r="40" ht="23" customHeight="1">
      <x:c r="A40" s="64" t="str">
        <x:v>CBD PRODUCTS</x:v>
      </x:c>
      <x:c r="B40" s="64"/>
      <x:c r="C40" s="64"/>
      <x:c r="D40" s="64"/>
      <x:c r="E40" s="64"/>
      <x:c r="F40" s="64"/>
      <x:c r="G40" s="64"/>
      <x:c r="H40" s="64"/>
      <x:c r="I40" s="64"/>
      <x:c r="J40" s="64"/>
      <x:c r="K40" s="64"/>
      <x:c r="L40" s="64"/>
      <x:c r="M40" s="64"/>
      <x:c r="N40" s="64"/>
      <x:c r="O40" s="65"/>
      <x:c r="P40" s="64"/>
      <x:c r="Q40" s="66"/>
      <x:c r="R40" s="64"/>
      <x:c r="S40" s="67"/>
      <x:c r="T40" s="64"/>
      <x:c r="U40" s="66"/>
      <x:c r="V40" s="65"/>
      <x:c r="W40" s="65"/>
    </x:row>
    <x:row r="41">
      <x:c r="A41" s="41" t="str">
        <x:v>Ceres</x:v>
      </x:c>
      <x:c r="B41" s="41" t="str">
        <x:v>Blackberry Gummies</x:v>
      </x:c>
      <x:c r="C41" s="41" t="str">
        <x:v>Gummies</x:v>
      </x:c>
      <x:c r="D41" s="41" t="str">
        <x:v>CBD</x:v>
      </x:c>
      <x:c r="E41" s="41" t="str">
        <x:v>Rosin</x:v>
      </x:c>
      <x:c r="F41" s="41" t="str">
        <x:v>Holistic</x:v>
      </x:c>
      <x:c r="G41" s="41" t="str">
        <x:v>Pain Relief</x:v>
      </x:c>
      <x:c r="H41" s="41" t="str">
        <x:v>CBD Only</x:v>
      </x:c>
      <x:c r="I41" s="41"/>
      <x:c r="J41" s="41" t="n">
        <x:v>0</x:v>
      </x:c>
      <x:c r="K41" s="41" t="n">
        <x:v>25</x:v>
      </x:c>
      <x:c r="L41" s="41" t="n">
        <x:v>0</x:v>
      </x:c>
      <x:c r="M41" s="41" t="str">
        <x:v>CBD Only</x:v>
      </x:c>
      <x:c r="N41" s="41" t="str">
        <x:v>Blackberry</x:v>
      </x:c>
      <x:c r="O41" s="42" t="str">
        <x:v>Blackberry gummies formulated for the pain relief experience.</x:v>
      </x:c>
      <x:c r="P41" s="41" t="str">
        <x:v>Weight</x:v>
      </x:c>
      <x:c r="Q41" s="50" t="n">
        <x:f>ROUNDDOWN(S41/28.349523125,2)</x:f>
        <x:v>2.18</x:v>
      </x:c>
      <x:c r="R41" s="41" t="str">
        <x:v>oz</x:v>
      </x:c>
      <x:c r="S41" s="52" t="n">
        <x:v>62</x:v>
      </x:c>
      <x:c r="T41" s="41" t="str">
        <x:v>g</x:v>
      </x:c>
      <x:c r="U41" s="50" t="n">
        <x:f>S41/10</x:f>
        <x:v>6.2</x:v>
      </x:c>
      <x:c r="V41" s="42" t="str">
        <x:v>Researched — Ceres 10-pack chews in WA traceability data</x:v>
      </x:c>
      <x:c r="W41" s="42" t="str">
        <x:v>https://www.topshelfdata.com/wa/seattle/clutch-cannabis/leaf_product_purchases?business=Hannah+Industries&amp;from=2024-07-01</x:v>
      </x:c>
    </x:row>
    <x:row r="42">
      <x:c r="A42" s="41" t="str">
        <x:v>Constellation</x:v>
      </x:c>
      <x:c r="B42" s="41" t="str">
        <x:v>Lemon CBD Chocolate Squares</x:v>
      </x:c>
      <x:c r="C42" s="41" t="str">
        <x:v>Chocolate</x:v>
      </x:c>
      <x:c r="D42" s="41" t="str">
        <x:v>CBD</x:v>
      </x:c>
      <x:c r="E42" s="41" t="str">
        <x:v>Live Resin</x:v>
      </x:c>
      <x:c r="F42" s="41" t="str">
        <x:v>Holistic</x:v>
      </x:c>
      <x:c r="G42" s="41" t="str">
        <x:v>Pain Relief</x:v>
      </x:c>
      <x:c r="H42" s="41" t="str">
        <x:v>CBD Only</x:v>
      </x:c>
      <x:c r="I42" s="41"/>
      <x:c r="J42" s="41" t="n">
        <x:v>0</x:v>
      </x:c>
      <x:c r="K42" s="41" t="n">
        <x:v>25</x:v>
      </x:c>
      <x:c r="L42" s="41" t="n">
        <x:v>0</x:v>
      </x:c>
      <x:c r="M42" s="41" t="str">
        <x:v>CBD Only</x:v>
      </x:c>
      <x:c r="N42" s="41" t="str">
        <x:v>Lemon</x:v>
      </x:c>
      <x:c r="O42" s="42" t="str">
        <x:v>Bright lemon chocolate squares built around a CBD-only formula with a smooth cocoa finish and clean citrus lift.</x:v>
      </x:c>
      <x:c r="P42" s="41" t="str">
        <x:v>Weight</x:v>
      </x:c>
      <x:c r="Q42" s="50" t="n">
        <x:f>ROUNDDOWN(S42/28.349523125,2)</x:f>
        <x:v>3.52</x:v>
      </x:c>
      <x:c r="R42" s="41" t="str">
        <x:v>oz</x:v>
      </x:c>
      <x:c r="S42" s="52" t="n">
        <x:v>100</x:v>
      </x:c>
      <x:c r="T42" s="41" t="str">
        <x:v>g</x:v>
      </x:c>
      <x:c r="U42" s="50" t="n">
        <x:f>S42/10</x:f>
        <x:v>10</x:v>
      </x:c>
      <x:c r="V42" s="42" t="str">
        <x:v>Estimated — exact SKU not found; comparable WA 10-piece chocolate/confection package</x:v>
      </x:c>
      <x:c r="W42" s="42" t="str">
        <x:v>https://www.topshelfdata.com/wa/tacoma/the-gallery-parkland/leaf_product_purchases?business=Stryps&amp;from=2024-04-01</x:v>
      </x:c>
    </x:row>
    <x:row r="43" ht="23" customHeight="1">
      <x:c r="A43" s="41" t="str">
        <x:v>Good Tide</x:v>
      </x:c>
      <x:c r="B43" s="41" t="str">
        <x:v>Mango CBD Fruit Drops</x:v>
      </x:c>
      <x:c r="C43" s="41" t="str">
        <x:v>Hard Candy</x:v>
      </x:c>
      <x:c r="D43" s="41" t="str">
        <x:v>CBD</x:v>
      </x:c>
      <x:c r="E43" s="41" t="str">
        <x:v>Rosin</x:v>
      </x:c>
      <x:c r="F43" s="41" t="str">
        <x:v>Holistic</x:v>
      </x:c>
      <x:c r="G43" s="41" t="str">
        <x:v>Pain Relief</x:v>
      </x:c>
      <x:c r="H43" s="41" t="str">
        <x:v>CBD Only</x:v>
      </x:c>
      <x:c r="I43" s="41"/>
      <x:c r="J43" s="41" t="n">
        <x:v>0</x:v>
      </x:c>
      <x:c r="K43" s="41" t="n">
        <x:v>25</x:v>
      </x:c>
      <x:c r="L43" s="41" t="n">
        <x:v>0</x:v>
      </x:c>
      <x:c r="M43" s="41" t="str">
        <x:v>CBD Only</x:v>
      </x:c>
      <x:c r="N43" s="41" t="str">
        <x:v>Mango</x:v>
      </x:c>
      <x:c r="O43" s="42" t="str">
        <x:v>Slow-dissolving mango fruit drops with a CBD-only formula and a juicy tropical profile that stays light rather than syrupy.</x:v>
      </x:c>
      <x:c r="P43" s="41" t="str">
        <x:v>Weight</x:v>
      </x:c>
      <x:c r="Q43" s="50" t="n">
        <x:f>ROUNDDOWN(S43/28.349523125,2)</x:f>
        <x:v>1.41</x:v>
      </x:c>
      <x:c r="R43" s="41" t="str">
        <x:v>oz</x:v>
      </x:c>
      <x:c r="S43" s="52" t="n">
        <x:v>40</x:v>
      </x:c>
      <x:c r="T43" s="41" t="str">
        <x:v>g</x:v>
      </x:c>
      <x:c r="U43" s="50" t="n">
        <x:f>S43/10</x:f>
        <x:v>4</x:v>
      </x:c>
      <x:c r="V43" s="42" t="str">
        <x:v>Estimated — synthetic hard-candy SKU; comparable 10-count edible package</x:v>
      </x:c>
      <x:c r="W43" s="42" t="str">
        <x:v>https://weedmaps.com/brands/good-tide/products/good-tide-kiwi-strawberry-solventless-hass-rosin-gummies-refreshing</x:v>
      </x:c>
    </x:row>
    <x:row r="44">
      <x:c r="A44" s="41" t="str">
        <x:v>Green Revolution</x:v>
      </x:c>
      <x:c r="B44" s="41" t="str">
        <x:v>Blueberry CBD Cookie Bites</x:v>
      </x:c>
      <x:c r="C44" s="41" t="str">
        <x:v>Baked Goods</x:v>
      </x:c>
      <x:c r="D44" s="41" t="str">
        <x:v>CBD</x:v>
      </x:c>
      <x:c r="E44" s="41" t="str">
        <x:v>Live Rosin</x:v>
      </x:c>
      <x:c r="F44" s="41" t="str">
        <x:v>Holistic</x:v>
      </x:c>
      <x:c r="G44" s="41" t="str">
        <x:v>Pain Relief</x:v>
      </x:c>
      <x:c r="H44" s="41" t="str">
        <x:v>CBD Only</x:v>
      </x:c>
      <x:c r="I44" s="41"/>
      <x:c r="J44" s="41" t="n">
        <x:v>0</x:v>
      </x:c>
      <x:c r="K44" s="41" t="n">
        <x:v>25</x:v>
      </x:c>
      <x:c r="L44" s="41" t="n">
        <x:v>0</x:v>
      </x:c>
      <x:c r="M44" s="41" t="str">
        <x:v>CBD Only</x:v>
      </x:c>
      <x:c r="N44" s="41" t="str">
        <x:v>Blueberry</x:v>
      </x:c>
      <x:c r="O44" s="42" t="str">
        <x:v>Soft blueberry cookie bites made as a CBD-only edible with a mellow baked-fruit flavor and easy portioning.</x:v>
      </x:c>
      <x:c r="P44" s="41" t="str">
        <x:v>Weight</x:v>
      </x:c>
      <x:c r="Q44" s="50" t="n">
        <x:f>ROUNDDOWN(S44/28.349523125,2)</x:f>
        <x:v>3.52</x:v>
      </x:c>
      <x:c r="R44" s="41" t="str">
        <x:v>oz</x:v>
      </x:c>
      <x:c r="S44" s="52" t="n">
        <x:v>100</x:v>
      </x:c>
      <x:c r="T44" s="41" t="str">
        <x:v>g</x:v>
      </x:c>
      <x:c r="U44" s="50" t="n">
        <x:f>S44/10</x:f>
        <x:v>10</x:v>
      </x:c>
      <x:c r="V44" s="42" t="str">
        <x:v>Estimated — exact baked SKU not found; aligned to comparable 10-serving WA confection package</x:v>
      </x:c>
      <x:c r="W44" s="42" t="str">
        <x:v>https://www.topshelfdata.com/wa/bothell/herbal-nation/leaf_product_purchases?business=Harmony+Farms&amp;from=2024-02-01</x:v>
      </x:c>
    </x:row>
    <x:row r="45">
      <x:c r="A45" s="41" t="str">
        <x:v>Journeyman</x:v>
      </x:c>
      <x:c r="B45" s="41" t="str">
        <x:v>Pear CBD Softgels</x:v>
      </x:c>
      <x:c r="C45" s="41" t="str">
        <x:v>Capsules</x:v>
      </x:c>
      <x:c r="D45" s="41" t="str">
        <x:v>CBD</x:v>
      </x:c>
      <x:c r="E45" s="41" t="str">
        <x:v>Distillate</x:v>
      </x:c>
      <x:c r="F45" s="41" t="str">
        <x:v>Holistic</x:v>
      </x:c>
      <x:c r="G45" s="41" t="str">
        <x:v>Pain Relief</x:v>
      </x:c>
      <x:c r="H45" s="41" t="str">
        <x:v>CBD Only</x:v>
      </x:c>
      <x:c r="I45" s="41"/>
      <x:c r="J45" s="41" t="n">
        <x:v>0</x:v>
      </x:c>
      <x:c r="K45" s="41" t="n">
        <x:v>25</x:v>
      </x:c>
      <x:c r="L45" s="41" t="n">
        <x:v>0</x:v>
      </x:c>
      <x:c r="M45" s="41" t="str">
        <x:v>CBD Only</x:v>
      </x:c>
      <x:c r="N45" s="41" t="str">
        <x:v>Unflavored</x:v>
      </x:c>
      <x:c r="O45" s="42" t="str">
        <x:v>Discreet CBD-only softgels designed for simple, repeatable dosing without added flavor or sugar.</x:v>
      </x:c>
      <x:c r="P45" s="41" t="str">
        <x:v>Weight</x:v>
      </x:c>
      <x:c r="Q45" s="50" t="n">
        <x:f>ROUNDDOWN(S45/28.349523125,2)</x:f>
        <x:v>0.35</x:v>
      </x:c>
      <x:c r="R45" s="41" t="str">
        <x:v>oz</x:v>
      </x:c>
      <x:c r="S45" s="52" t="n">
        <x:v>10</x:v>
      </x:c>
      <x:c r="T45" s="41" t="str">
        <x:v>g</x:v>
      </x:c>
      <x:c r="U45" s="50" t="n">
        <x:f>S45/10</x:f>
        <x:v>1</x:v>
      </x:c>
      <x:c r="V45" s="42" t="str">
        <x:v>Estimated — synthetic 10-count capsule package</x:v>
      </x:c>
      <x:c r="W45" s="42" t="str">
        <x:v>https://www.topshelfdata.com/wa/shelton/sashas-cannabis/leaf_product_purchases?business=Fairwinds+Manufacturing&amp;from=2024-05-01</x:v>
      </x:c>
    </x:row>
    <x:row r="46">
      <x:c r="A46" s="41" t="str">
        <x:v>Marmas</x:v>
      </x:c>
      <x:c r="B46" s="41" t="str">
        <x:v>Peach CBD Gummies</x:v>
      </x:c>
      <x:c r="C46" s="41" t="str">
        <x:v>Gummies</x:v>
      </x:c>
      <x:c r="D46" s="41" t="str">
        <x:v>CBD</x:v>
      </x:c>
      <x:c r="E46" s="41" t="str">
        <x:v>Live Resin</x:v>
      </x:c>
      <x:c r="F46" s="41" t="str">
        <x:v>Holistic</x:v>
      </x:c>
      <x:c r="G46" s="41" t="str">
        <x:v>Pain Relief</x:v>
      </x:c>
      <x:c r="H46" s="41" t="str">
        <x:v>CBD Only</x:v>
      </x:c>
      <x:c r="I46" s="41"/>
      <x:c r="J46" s="41" t="n">
        <x:v>0</x:v>
      </x:c>
      <x:c r="K46" s="41" t="n">
        <x:v>25</x:v>
      </x:c>
      <x:c r="L46" s="41" t="n">
        <x:v>0</x:v>
      </x:c>
      <x:c r="M46" s="41" t="str">
        <x:v>CBD Only</x:v>
      </x:c>
      <x:c r="N46" s="41" t="str">
        <x:v>Peach</x:v>
      </x:c>
      <x:c r="O46" s="42" t="str">
        <x:v>Soft peach gummies centered on CBD-only dosing with a bright stone-fruit flavor and a clean finish.</x:v>
      </x:c>
      <x:c r="P46" s="41" t="str">
        <x:v>Weight</x:v>
      </x:c>
      <x:c r="Q46" s="50" t="n">
        <x:f>ROUNDDOWN(S46/28.349523125,2)</x:f>
        <x:v>1.76</x:v>
      </x:c>
      <x:c r="R46" s="41" t="str">
        <x:v>oz</x:v>
      </x:c>
      <x:c r="S46" s="52" t="n">
        <x:v>50</x:v>
      </x:c>
      <x:c r="T46" s="41" t="str">
        <x:v>g</x:v>
      </x:c>
      <x:c r="U46" s="50" t="n">
        <x:f>S46/10</x:f>
        <x:v>5</x:v>
      </x:c>
      <x:c r="V46" s="42" t="str">
        <x:v>Researched — Marmas 10-pack examples in WA traceability data</x:v>
      </x:c>
      <x:c r="W46" s="42" t="str">
        <x:v>https://www.topshelfdata.com/wa/tacoma/diamond-green/leaf_product_purchases?business=Mt+Baker+Homegrown&amp;from=2024-07-01</x:v>
      </x:c>
    </x:row>
    <x:row r="47">
      <x:c r="A47" s="20"/>
      <x:c r="B47" s="20"/>
      <x:c r="C47" s="20"/>
      <x:c r="D47" s="20"/>
      <x:c r="E47" s="20"/>
      <x:c r="F47" s="20"/>
      <x:c r="G47" s="20"/>
      <x:c r="H47" s="20"/>
      <x:c r="I47" s="20"/>
      <x:c r="J47" s="20"/>
      <x:c r="K47" s="20"/>
      <x:c r="L47" s="20"/>
      <x:c r="M47" s="20"/>
      <x:c r="N47" s="20"/>
      <x:c r="O47" s="24"/>
      <x:c r="P47"/>
      <x:c r="Q47" s="49"/>
      <x:c r="R47"/>
      <x:c r="S47" s="51"/>
      <x:c r="T47"/>
      <x:c r="U47" s="49"/>
      <x:c r="V47" s="53"/>
      <x:c r="W47" s="53"/>
    </x:row>
    <x:row r="48" ht="23" customHeight="1">
      <x:c r="A48" s="64" t="str">
        <x:v>BLEND PRODUCTS</x:v>
      </x:c>
      <x:c r="B48" s="64"/>
      <x:c r="C48" s="64"/>
      <x:c r="D48" s="64"/>
      <x:c r="E48" s="64"/>
      <x:c r="F48" s="64"/>
      <x:c r="G48" s="64"/>
      <x:c r="H48" s="64"/>
      <x:c r="I48" s="64"/>
      <x:c r="J48" s="64"/>
      <x:c r="K48" s="64"/>
      <x:c r="L48" s="64"/>
      <x:c r="M48" s="64"/>
      <x:c r="N48" s="64"/>
      <x:c r="O48" s="65"/>
      <x:c r="P48" s="64"/>
      <x:c r="Q48" s="66"/>
      <x:c r="R48" s="64"/>
      <x:c r="S48" s="67"/>
      <x:c r="T48" s="64"/>
      <x:c r="U48" s="66"/>
      <x:c r="V48" s="65"/>
      <x:c r="W48" s="65"/>
    </x:row>
    <x:row r="49">
      <x:c r="A49" s="20" t="str">
        <x:v>Ceres</x:v>
      </x:c>
      <x:c r="B49" s="20" t="str">
        <x:v>Huckleberry Gummies</x:v>
      </x:c>
      <x:c r="C49" s="20" t="str">
        <x:v>Gummies</x:v>
      </x:c>
      <x:c r="D49" s="20" t="str">
        <x:v>Blend</x:v>
      </x:c>
      <x:c r="E49" s="20" t="str">
        <x:v>Distillate</x:v>
      </x:c>
      <x:c r="F49" s="20"/>
      <x:c r="G49" s="20" t="str">
        <x:v>Chill</x:v>
      </x:c>
      <x:c r="H49" s="20" t="str">
        <x:v>THC:CBN</x:v>
      </x:c>
      <x:c r="I49" s="20" t="str">
        <x:v>1:5</x:v>
      </x:c>
      <x:c r="J49" s="20" t="n">
        <x:v>2</x:v>
      </x:c>
      <x:c r="K49" s="20" t="n">
        <x:v>0</x:v>
      </x:c>
      <x:c r="L49" s="20" t="n">
        <x:v>10</x:v>
      </x:c>
      <x:c r="M49" s="20" t="str">
        <x:v>10mg / 100mg</x:v>
      </x:c>
      <x:c r="N49" s="20" t="str">
        <x:v>Huckleberry</x:v>
      </x:c>
      <x:c r="O49" s="24" t="str">
        <x:v>Huckleberry gummies formulated for the chill experience.</x:v>
      </x:c>
      <x:c r="P49" t="str">
        <x:v>Weight</x:v>
      </x:c>
      <x:c r="Q49" s="49" t="n">
        <x:f>ROUNDDOWN(S49/28.349523125,2)</x:f>
        <x:v>2.18</x:v>
      </x:c>
      <x:c r="R49" t="str">
        <x:v>oz</x:v>
      </x:c>
      <x:c r="S49" s="51" t="n">
        <x:v>62</x:v>
      </x:c>
      <x:c r="T49" t="str">
        <x:v>g</x:v>
      </x:c>
      <x:c r="U49" s="49" t="n">
        <x:f>S49/10</x:f>
        <x:v>6.2</x:v>
      </x:c>
      <x:c r="V49" s="53" t="str">
        <x:v>Researched — Ceres 10-pack chews in WA traceability data</x:v>
      </x:c>
      <x:c r="W49" s="53" t="str">
        <x:v>https://www.topshelfdata.com/wa/seattle/clutch-cannabis/leaf_product_purchases?business=Hannah+Industries&amp;from=2024-07-01</x:v>
      </x:c>
    </x:row>
    <x:row r="50">
      <x:c r="A50" s="20" t="str">
        <x:v>Constellation</x:v>
      </x:c>
      <x:c r="B50" s="20" t="str">
        <x:v>Mango Chocolate Squares</x:v>
      </x:c>
      <x:c r="C50" s="20" t="str">
        <x:v>Chocolate</x:v>
      </x:c>
      <x:c r="D50" s="20" t="str">
        <x:v>Blend</x:v>
      </x:c>
      <x:c r="E50" s="20" t="str">
        <x:v>Live Resin</x:v>
      </x:c>
      <x:c r="F50" s="20"/>
      <x:c r="G50" s="20" t="str">
        <x:v>Creative</x:v>
      </x:c>
      <x:c r="H50" s="20" t="str">
        <x:v>THC:CBG</x:v>
      </x:c>
      <x:c r="I50" s="20" t="str">
        <x:v>1:10</x:v>
      </x:c>
      <x:c r="J50" s="20" t="n">
        <x:v>1</x:v>
      </x:c>
      <x:c r="K50" s="20" t="n">
        <x:v>0</x:v>
      </x:c>
      <x:c r="L50" s="20" t="n">
        <x:v>10</x:v>
      </x:c>
      <x:c r="M50" s="20" t="str">
        <x:v>10mg / 100mg</x:v>
      </x:c>
      <x:c r="N50" s="20" t="str">
        <x:v>Mango</x:v>
      </x:c>
      <x:c r="O50" s="24" t="str">
        <x:v>Mango chocolate formulated for the creative experience.</x:v>
      </x:c>
      <x:c r="P50" t="str">
        <x:v>Weight</x:v>
      </x:c>
      <x:c r="Q50" s="49" t="n">
        <x:f>ROUNDDOWN(S50/28.349523125,2)</x:f>
        <x:v>3.52</x:v>
      </x:c>
      <x:c r="R50" t="str">
        <x:v>oz</x:v>
      </x:c>
      <x:c r="S50" s="51" t="n">
        <x:v>100</x:v>
      </x:c>
      <x:c r="T50" t="str">
        <x:v>g</x:v>
      </x:c>
      <x:c r="U50" s="49" t="n">
        <x:f>S50/10</x:f>
        <x:v>10</x:v>
      </x:c>
      <x:c r="V50" s="53" t="str">
        <x:v>Estimated — exact SKU not found; comparable WA 10-piece chocolate/confection package</x:v>
      </x:c>
      <x:c r="W50" s="53" t="str">
        <x:v>https://www.topshelfdata.com/wa/tacoma/the-gallery-parkland/leaf_product_purchases?business=Stryps&amp;from=2024-04-01</x:v>
      </x:c>
    </x:row>
    <x:row r="51">
      <x:c r="A51" s="20" t="str">
        <x:v>Constellation</x:v>
      </x:c>
      <x:c r="B51" s="20" t="str">
        <x:v>Blue Raspberry Chocolate Squares</x:v>
      </x:c>
      <x:c r="C51" s="20" t="str">
        <x:v>Chocolate</x:v>
      </x:c>
      <x:c r="D51" s="20" t="str">
        <x:v>Blend</x:v>
      </x:c>
      <x:c r="E51" s="20" t="str">
        <x:v>Live Rosin</x:v>
      </x:c>
      <x:c r="F51" s="20"/>
      <x:c r="G51" s="20" t="str">
        <x:v>Relax</x:v>
      </x:c>
      <x:c r="H51" s="20" t="str">
        <x:v>CBD:CBN</x:v>
      </x:c>
      <x:c r="I51" s="20" t="str">
        <x:v>10:1</x:v>
      </x:c>
      <x:c r="J51" s="20" t="n">
        <x:v>0</x:v>
      </x:c>
      <x:c r="K51" s="20" t="n">
        <x:v>20</x:v>
      </x:c>
      <x:c r="L51" s="20" t="n">
        <x:v>2</x:v>
      </x:c>
      <x:c r="M51" s="20" t="str">
        <x:v>10mg / 100mg</x:v>
      </x:c>
      <x:c r="N51" s="20" t="str">
        <x:v>Blue Raspberry</x:v>
      </x:c>
      <x:c r="O51" s="24" t="str">
        <x:v>Blue Raspberry chocolate formulated for the relax experience.</x:v>
      </x:c>
      <x:c r="P51" t="str">
        <x:v>Weight</x:v>
      </x:c>
      <x:c r="Q51" s="49" t="n">
        <x:f>ROUNDDOWN(S51/28.349523125,2)</x:f>
        <x:v>3.52</x:v>
      </x:c>
      <x:c r="R51" t="str">
        <x:v>oz</x:v>
      </x:c>
      <x:c r="S51" s="51" t="n">
        <x:v>100</x:v>
      </x:c>
      <x:c r="T51" t="str">
        <x:v>g</x:v>
      </x:c>
      <x:c r="U51" s="49" t="n">
        <x:f>S51/10</x:f>
        <x:v>10</x:v>
      </x:c>
      <x:c r="V51" s="53" t="str">
        <x:v>Estimated — exact SKU not found; comparable WA 10-piece chocolate/confection package</x:v>
      </x:c>
      <x:c r="W51" s="53" t="str">
        <x:v>https://www.topshelfdata.com/wa/tacoma/the-gallery-parkland/leaf_product_purchases?business=Stryps&amp;from=2024-04-01</x:v>
      </x:c>
    </x:row>
    <x:row r="52">
      <x:c r="A52" s="20" t="str">
        <x:v>Good Tide</x:v>
      </x:c>
      <x:c r="B52" s="20" t="str">
        <x:v>Pear Fruit Drops</x:v>
      </x:c>
      <x:c r="C52" s="20" t="str">
        <x:v>Hard Candy</x:v>
      </x:c>
      <x:c r="D52" s="20" t="str">
        <x:v>Blend</x:v>
      </x:c>
      <x:c r="E52" s="20" t="str">
        <x:v>Rosin</x:v>
      </x:c>
      <x:c r="F52" s="20"/>
      <x:c r="G52" s="20" t="str">
        <x:v>Balanced</x:v>
      </x:c>
      <x:c r="H52" s="20" t="str">
        <x:v>THC:CBD</x:v>
      </x:c>
      <x:c r="I52" s="20" t="str">
        <x:v>1:1</x:v>
      </x:c>
      <x:c r="J52" s="20" t="n">
        <x:v>10</x:v>
      </x:c>
      <x:c r="K52" s="20" t="n">
        <x:v>10</x:v>
      </x:c>
      <x:c r="L52" s="20" t="n">
        <x:v>0</x:v>
      </x:c>
      <x:c r="M52" s="20" t="str">
        <x:v>10mg / 100mg</x:v>
      </x:c>
      <x:c r="N52" s="20" t="str">
        <x:v>Pear</x:v>
      </x:c>
      <x:c r="O52" s="24" t="str">
        <x:v>Pear hard candy formulated for the balanced experience.</x:v>
      </x:c>
      <x:c r="P52" t="str">
        <x:v>Weight</x:v>
      </x:c>
      <x:c r="Q52" s="49" t="n">
        <x:f>ROUNDDOWN(S52/28.349523125,2)</x:f>
        <x:v>1.41</x:v>
      </x:c>
      <x:c r="R52" t="str">
        <x:v>oz</x:v>
      </x:c>
      <x:c r="S52" s="51" t="n">
        <x:v>40</x:v>
      </x:c>
      <x:c r="T52" t="str">
        <x:v>g</x:v>
      </x:c>
      <x:c r="U52" s="49" t="n">
        <x:f>S52/10</x:f>
        <x:v>4</x:v>
      </x:c>
      <x:c r="V52" s="53" t="str">
        <x:v>Estimated — synthetic hard-candy SKU; comparable 10-count edible package</x:v>
      </x:c>
      <x:c r="W52" s="53" t="str">
        <x:v>https://weedmaps.com/brands/good-tide/products/good-tide-kiwi-strawberry-solventless-hass-rosin-gummies-refreshing</x:v>
      </x:c>
    </x:row>
    <x:row r="53">
      <x:c r="A53" s="20" t="str">
        <x:v>Good Tide</x:v>
      </x:c>
      <x:c r="B53" s="20" t="str">
        <x:v>Dark Chocolate Fruit Drops</x:v>
      </x:c>
      <x:c r="C53" s="20" t="str">
        <x:v>Hard Candy</x:v>
      </x:c>
      <x:c r="D53" s="20" t="str">
        <x:v>Blend</x:v>
      </x:c>
      <x:c r="E53" s="20" t="str">
        <x:v>Distillate</x:v>
      </x:c>
      <x:c r="F53" s="20"/>
      <x:c r="G53" s="20" t="str">
        <x:v>Relax</x:v>
      </x:c>
      <x:c r="H53" s="20" t="str">
        <x:v>CBD:CBN</x:v>
      </x:c>
      <x:c r="I53" s="20" t="str">
        <x:v>5:1</x:v>
      </x:c>
      <x:c r="J53" s="20" t="n">
        <x:v>0</x:v>
      </x:c>
      <x:c r="K53" s="20" t="n">
        <x:v>10</x:v>
      </x:c>
      <x:c r="L53" s="20" t="n">
        <x:v>2</x:v>
      </x:c>
      <x:c r="M53" s="20" t="str">
        <x:v>10mg / 100mg</x:v>
      </x:c>
      <x:c r="N53" s="20" t="str">
        <x:v>Dark Chocolate</x:v>
      </x:c>
      <x:c r="O53" s="24" t="str">
        <x:v>Dark Chocolate hard candy formulated for the relax experience.</x:v>
      </x:c>
      <x:c r="P53" t="str">
        <x:v>Weight</x:v>
      </x:c>
      <x:c r="Q53" s="49" t="n">
        <x:f>ROUNDDOWN(S53/28.349523125,2)</x:f>
        <x:v>1.41</x:v>
      </x:c>
      <x:c r="R53" t="str">
        <x:v>oz</x:v>
      </x:c>
      <x:c r="S53" s="51" t="n">
        <x:v>40</x:v>
      </x:c>
      <x:c r="T53" t="str">
        <x:v>g</x:v>
      </x:c>
      <x:c r="U53" s="49" t="n">
        <x:f>S53/10</x:f>
        <x:v>4</x:v>
      </x:c>
      <x:c r="V53" s="53" t="str">
        <x:v>Estimated — synthetic hard-candy SKU; comparable 10-count edible package</x:v>
      </x:c>
      <x:c r="W53" s="53" t="str">
        <x:v>https://weedmaps.com/brands/good-tide/products/good-tide-kiwi-strawberry-solventless-hass-rosin-gummies-refreshing</x:v>
      </x:c>
    </x:row>
    <x:row r="54">
      <x:c r="A54" s="20" t="str">
        <x:v>Green Revolution</x:v>
      </x:c>
      <x:c r="B54" s="20" t="str">
        <x:v>Raspberry Cookie Bites</x:v>
      </x:c>
      <x:c r="C54" s="20" t="str">
        <x:v>Baked Goods</x:v>
      </x:c>
      <x:c r="D54" s="20" t="str">
        <x:v>Blend</x:v>
      </x:c>
      <x:c r="E54" s="20" t="str">
        <x:v>Live Rosin</x:v>
      </x:c>
      <x:c r="F54" s="20"/>
      <x:c r="G54" s="20" t="str">
        <x:v>Deep Sleep</x:v>
      </x:c>
      <x:c r="H54" s="20" t="str">
        <x:v>THC:CBD:CBN</x:v>
      </x:c>
      <x:c r="I54" s="20" t="str">
        <x:v>1:1:1</x:v>
      </x:c>
      <x:c r="J54" s="20" t="n">
        <x:v>10</x:v>
      </x:c>
      <x:c r="K54" s="20" t="n">
        <x:v>10</x:v>
      </x:c>
      <x:c r="L54" s="20" t="n">
        <x:v>10</x:v>
      </x:c>
      <x:c r="M54" s="20" t="str">
        <x:v>10mg / 100mg</x:v>
      </x:c>
      <x:c r="N54" s="20" t="str">
        <x:v>Raspberry</x:v>
      </x:c>
      <x:c r="O54" s="24" t="str">
        <x:v>Raspberry baked goods formulated for the deep sleep experience.</x:v>
      </x:c>
      <x:c r="P54" t="str">
        <x:v>Weight</x:v>
      </x:c>
      <x:c r="Q54" s="49" t="n">
        <x:f>ROUNDDOWN(S54/28.349523125,2)</x:f>
        <x:v>3.52</x:v>
      </x:c>
      <x:c r="R54" t="str">
        <x:v>oz</x:v>
      </x:c>
      <x:c r="S54" s="51" t="n">
        <x:v>100</x:v>
      </x:c>
      <x:c r="T54" t="str">
        <x:v>g</x:v>
      </x:c>
      <x:c r="U54" s="49" t="n">
        <x:f>S54/10</x:f>
        <x:v>10</x:v>
      </x:c>
      <x:c r="V54" s="53" t="str">
        <x:v>Estimated — exact baked SKU not found; aligned to comparable 10-serving WA confection package</x:v>
      </x:c>
      <x:c r="W54" s="53" t="str">
        <x:v>https://www.topshelfdata.com/wa/bothell/herbal-nation/leaf_product_purchases?business=Harmony+Farms&amp;from=2024-02-01</x:v>
      </x:c>
    </x:row>
    <x:row r="55">
      <x:c r="A55" s="20" t="str">
        <x:v>Green Revolution</x:v>
      </x:c>
      <x:c r="B55" s="20" t="str">
        <x:v>Lemon Cookie Bites</x:v>
      </x:c>
      <x:c r="C55" s="20" t="str">
        <x:v>Baked Goods</x:v>
      </x:c>
      <x:c r="D55" s="20" t="str">
        <x:v>Blend</x:v>
      </x:c>
      <x:c r="E55" s="20" t="str">
        <x:v>Live Resin</x:v>
      </x:c>
      <x:c r="F55" s="20"/>
      <x:c r="G55" s="20" t="str">
        <x:v>Relax</x:v>
      </x:c>
      <x:c r="H55" s="20" t="str">
        <x:v>CBD:CBN</x:v>
      </x:c>
      <x:c r="I55" s="20" t="str">
        <x:v>1:5</x:v>
      </x:c>
      <x:c r="J55" s="20" t="n">
        <x:v>0</x:v>
      </x:c>
      <x:c r="K55" s="20" t="n">
        <x:v>2</x:v>
      </x:c>
      <x:c r="L55" s="20" t="n">
        <x:v>10</x:v>
      </x:c>
      <x:c r="M55" s="20" t="str">
        <x:v>10mg / 100mg</x:v>
      </x:c>
      <x:c r="N55" s="20" t="str">
        <x:v>Lemon</x:v>
      </x:c>
      <x:c r="O55" s="24" t="str">
        <x:v>Lemon baked goods formulated for the relax experience.</x:v>
      </x:c>
      <x:c r="P55" t="str">
        <x:v>Weight</x:v>
      </x:c>
      <x:c r="Q55" s="49" t="n">
        <x:f>ROUNDDOWN(S55/28.349523125,2)</x:f>
        <x:v>3.52</x:v>
      </x:c>
      <x:c r="R55" t="str">
        <x:v>oz</x:v>
      </x:c>
      <x:c r="S55" s="51" t="n">
        <x:v>100</x:v>
      </x:c>
      <x:c r="T55" t="str">
        <x:v>g</x:v>
      </x:c>
      <x:c r="U55" s="49" t="n">
        <x:f>S55/10</x:f>
        <x:v>10</x:v>
      </x:c>
      <x:c r="V55" s="53" t="str">
        <x:v>Estimated — exact baked SKU not found; aligned to comparable 10-serving WA confection package</x:v>
      </x:c>
      <x:c r="W55" s="53" t="str">
        <x:v>https://www.topshelfdata.com/wa/bothell/herbal-nation/leaf_product_purchases?business=Harmony+Farms&amp;from=2024-02-01</x:v>
      </x:c>
    </x:row>
    <x:row r="56">
      <x:c r="A56" s="20" t="str">
        <x:v>Journeyman</x:v>
      </x:c>
      <x:c r="B56" s="20" t="str">
        <x:v>Tangerine Softgels</x:v>
      </x:c>
      <x:c r="C56" s="20" t="str">
        <x:v>Capsules</x:v>
      </x:c>
      <x:c r="D56" s="20" t="str">
        <x:v>Blend</x:v>
      </x:c>
      <x:c r="E56" s="20" t="str">
        <x:v>Rosin</x:v>
      </x:c>
      <x:c r="F56" s="20"/>
      <x:c r="G56" s="20" t="str">
        <x:v>Happy</x:v>
      </x:c>
      <x:c r="H56" s="20" t="str">
        <x:v>THC:CBD:CBG</x:v>
      </x:c>
      <x:c r="I56" s="20" t="str">
        <x:v>1:1:1</x:v>
      </x:c>
      <x:c r="J56" s="20" t="n">
        <x:v>10</x:v>
      </x:c>
      <x:c r="K56" s="20" t="n">
        <x:v>10</x:v>
      </x:c>
      <x:c r="L56" s="20" t="n">
        <x:v>10</x:v>
      </x:c>
      <x:c r="M56" s="20" t="str">
        <x:v>10mg / 100mg</x:v>
      </x:c>
      <x:c r="N56" s="20" t="str">
        <x:v>Tangerine</x:v>
      </x:c>
      <x:c r="O56" s="24" t="str">
        <x:v>Tangerine capsules formulated for the happy experience.</x:v>
      </x:c>
      <x:c r="P56" t="str">
        <x:v>Weight</x:v>
      </x:c>
      <x:c r="Q56" s="49" t="n">
        <x:f>ROUNDDOWN(S56/28.349523125,2)</x:f>
        <x:v>0.35</x:v>
      </x:c>
      <x:c r="R56" t="str">
        <x:v>oz</x:v>
      </x:c>
      <x:c r="S56" s="51" t="n">
        <x:v>10</x:v>
      </x:c>
      <x:c r="T56" t="str">
        <x:v>g</x:v>
      </x:c>
      <x:c r="U56" s="49" t="n">
        <x:f>S56/10</x:f>
        <x:v>1</x:v>
      </x:c>
      <x:c r="V56" s="53" t="str">
        <x:v>Estimated — synthetic 10-count capsule package</x:v>
      </x:c>
      <x:c r="W56" s="53" t="str">
        <x:v>https://www.topshelfdata.com/wa/shelton/sashas-cannabis/leaf_product_purchases?business=Fairwinds+Manufacturing&amp;from=2024-05-01</x:v>
      </x:c>
    </x:row>
    <x:row r="57">
      <x:c r="A57" s="20" t="str">
        <x:v>Journeyman</x:v>
      </x:c>
      <x:c r="B57" s="20" t="str">
        <x:v>Peach Softgels</x:v>
      </x:c>
      <x:c r="C57" s="20" t="str">
        <x:v>Capsules</x:v>
      </x:c>
      <x:c r="D57" s="20" t="str">
        <x:v>Blend</x:v>
      </x:c>
      <x:c r="E57" s="20" t="str">
        <x:v>Distillate</x:v>
      </x:c>
      <x:c r="F57" s="20"/>
      <x:c r="G57" s="20" t="str">
        <x:v>Focus</x:v>
      </x:c>
      <x:c r="H57" s="20" t="str">
        <x:v>CBD:CBG</x:v>
      </x:c>
      <x:c r="I57" s="20" t="str">
        <x:v>10:1</x:v>
      </x:c>
      <x:c r="J57" s="20" t="n">
        <x:v>0</x:v>
      </x:c>
      <x:c r="K57" s="20" t="n">
        <x:v>20</x:v>
      </x:c>
      <x:c r="L57" s="20" t="n">
        <x:v>2</x:v>
      </x:c>
      <x:c r="M57" s="20" t="str">
        <x:v>10mg / 100mg</x:v>
      </x:c>
      <x:c r="N57" s="20" t="str">
        <x:v>Peach</x:v>
      </x:c>
      <x:c r="O57" s="24" t="str">
        <x:v>Peach capsules formulated for the focus experience.</x:v>
      </x:c>
      <x:c r="P57" t="str">
        <x:v>Weight</x:v>
      </x:c>
      <x:c r="Q57" s="49" t="n">
        <x:f>ROUNDDOWN(S57/28.349523125,2)</x:f>
        <x:v>0.35</x:v>
      </x:c>
      <x:c r="R57" t="str">
        <x:v>oz</x:v>
      </x:c>
      <x:c r="S57" s="51" t="n">
        <x:v>10</x:v>
      </x:c>
      <x:c r="T57" t="str">
        <x:v>g</x:v>
      </x:c>
      <x:c r="U57" s="49" t="n">
        <x:f>S57/10</x:f>
        <x:v>1</x:v>
      </x:c>
      <x:c r="V57" s="53" t="str">
        <x:v>Estimated — synthetic 10-count capsule package</x:v>
      </x:c>
      <x:c r="W57" s="53" t="str">
        <x:v>https://www.topshelfdata.com/wa/shelton/sashas-cannabis/leaf_product_purchases?business=Fairwinds+Manufacturing&amp;from=2024-05-01</x:v>
      </x:c>
    </x:row>
    <x:row r="58">
      <x:c r="A58" s="20" t="str">
        <x:v>Marmas</x:v>
      </x:c>
      <x:c r="B58" s="20" t="str">
        <x:v>Pineapple Gummies</x:v>
      </x:c>
      <x:c r="C58" s="20" t="str">
        <x:v>Gummies</x:v>
      </x:c>
      <x:c r="D58" s="20" t="str">
        <x:v>Blend</x:v>
      </x:c>
      <x:c r="E58" s="20" t="str">
        <x:v>Live Resin</x:v>
      </x:c>
      <x:c r="F58" s="20"/>
      <x:c r="G58" s="20" t="str">
        <x:v>Focus</x:v>
      </x:c>
      <x:c r="H58" s="20" t="str">
        <x:v>CBD:CBG</x:v>
      </x:c>
      <x:c r="I58" s="20" t="str">
        <x:v>1:10</x:v>
      </x:c>
      <x:c r="J58" s="20" t="n">
        <x:v>0</x:v>
      </x:c>
      <x:c r="K58" s="20" t="n">
        <x:v>2</x:v>
      </x:c>
      <x:c r="L58" s="20" t="n">
        <x:v>20</x:v>
      </x:c>
      <x:c r="M58" s="20" t="str">
        <x:v>10mg / 100mg</x:v>
      </x:c>
      <x:c r="N58" s="20" t="str">
        <x:v>Pineapple</x:v>
      </x:c>
      <x:c r="O58" s="24" t="str">
        <x:v>Pineapple gummies formulated for the focus experience.</x:v>
      </x:c>
      <x:c r="P58" t="str">
        <x:v>Weight</x:v>
      </x:c>
      <x:c r="Q58" s="49" t="n">
        <x:f>ROUNDDOWN(S58/28.349523125,2)</x:f>
        <x:v>1.76</x:v>
      </x:c>
      <x:c r="R58" t="str">
        <x:v>oz</x:v>
      </x:c>
      <x:c r="S58" s="51" t="n">
        <x:v>50</x:v>
      </x:c>
      <x:c r="T58" t="str">
        <x:v>g</x:v>
      </x:c>
      <x:c r="U58" s="49" t="n">
        <x:f>S58/10</x:f>
        <x:v>5</x:v>
      </x:c>
      <x:c r="V58" s="53" t="str">
        <x:v>Researched — Marmas 10-pack examples in WA traceability data</x:v>
      </x:c>
      <x:c r="W58" s="53" t="str">
        <x:v>https://www.topshelfdata.com/wa/tacoma/diamond-green/leaf_product_purchases?business=Mt+Baker+Homegrown&amp;from=2024-07-01</x:v>
      </x:c>
    </x:row>
    <x:row r="59">
      <x:c r="A59" s="20" t="str">
        <x:v>Pioneer Squares</x:v>
      </x:c>
      <x:c r="B59" s="20" t="str">
        <x:v>Strawberry Chocolate Squares</x:v>
      </x:c>
      <x:c r="C59" s="20" t="str">
        <x:v>Chocolate</x:v>
      </x:c>
      <x:c r="D59" s="20" t="str">
        <x:v>Blend</x:v>
      </x:c>
      <x:c r="E59" s="20" t="str">
        <x:v>Rosin</x:v>
      </x:c>
      <x:c r="F59" s="20"/>
      <x:c r="G59" s="20" t="str">
        <x:v>Unwind</x:v>
      </x:c>
      <x:c r="H59" s="20" t="str">
        <x:v>THC:CBD</x:v>
      </x:c>
      <x:c r="I59" s="20" t="str">
        <x:v>2:1</x:v>
      </x:c>
      <x:c r="J59" s="20" t="n">
        <x:v>10</x:v>
      </x:c>
      <x:c r="K59" s="20" t="n">
        <x:v>5</x:v>
      </x:c>
      <x:c r="L59" s="20" t="n">
        <x:v>0</x:v>
      </x:c>
      <x:c r="M59" s="20" t="str">
        <x:v>10mg / 100mg</x:v>
      </x:c>
      <x:c r="N59" s="20" t="str">
        <x:v>Strawberry</x:v>
      </x:c>
      <x:c r="O59" s="24" t="str">
        <x:v>Strawberry chocolate formulated for the unwind experience.</x:v>
      </x:c>
      <x:c r="P59" t="str">
        <x:v>Weight</x:v>
      </x:c>
      <x:c r="Q59" s="49" t="n">
        <x:f>ROUNDDOWN(S59/28.349523125,2)</x:f>
        <x:v>3.49</x:v>
      </x:c>
      <x:c r="R59" t="str">
        <x:v>oz</x:v>
      </x:c>
      <x:c r="S59" s="51" t="n">
        <x:v>99.2</x:v>
      </x:c>
      <x:c r="T59" t="str">
        <x:v>g</x:v>
      </x:c>
      <x:c r="U59" s="49" t="n">
        <x:f>S59/10</x:f>
        <x:v>9.92</x:v>
      </x:c>
      <x:c r="V59" s="53" t="str">
        <x:v>Researched — Pioneer Squares 10-pack WA traceability example</x:v>
      </x:c>
      <x:c r="W59" s="53" t="str">
        <x:v>https://www.topshelfdata.com/wa/tacoma/the-gallery-parkland/leaf_product_purchases?business=Stryps&amp;from=2024-04-01</x:v>
      </x:c>
    </x:row>
    <x:row r="60">
      <x:c r="A60" s="20" t="str">
        <x:v>Swifts</x:v>
      </x:c>
      <x:c r="B60" s="20" t="str">
        <x:v>Watermelon Fruit Drops</x:v>
      </x:c>
      <x:c r="C60" s="20" t="str">
        <x:v>Hard Candy</x:v>
      </x:c>
      <x:c r="D60" s="20" t="str">
        <x:v>Blend</x:v>
      </x:c>
      <x:c r="E60" s="20" t="str">
        <x:v>Live Rosin</x:v>
      </x:c>
      <x:c r="F60" s="20"/>
      <x:c r="G60" s="20" t="str">
        <x:v>Sleep</x:v>
      </x:c>
      <x:c r="H60" s="20" t="str">
        <x:v>THC:CBN</x:v>
      </x:c>
      <x:c r="I60" s="20" t="str">
        <x:v>5:1</x:v>
      </x:c>
      <x:c r="J60" s="20" t="n">
        <x:v>10</x:v>
      </x:c>
      <x:c r="K60" s="20" t="n">
        <x:v>0</x:v>
      </x:c>
      <x:c r="L60" s="20" t="n">
        <x:v>2</x:v>
      </x:c>
      <x:c r="M60" s="20" t="str">
        <x:v>10mg / 100mg</x:v>
      </x:c>
      <x:c r="N60" s="20" t="str">
        <x:v>Watermelon</x:v>
      </x:c>
      <x:c r="O60" s="24" t="str">
        <x:v>Watermelon hard candy formulated for the sleep experience.</x:v>
      </x:c>
      <x:c r="P60" t="str">
        <x:v>Weight</x:v>
      </x:c>
      <x:c r="Q60" s="49" t="n">
        <x:f>ROUNDDOWN(S60/28.349523125,2)</x:f>
        <x:v>1.41</x:v>
      </x:c>
      <x:c r="R60" t="str">
        <x:v>oz</x:v>
      </x:c>
      <x:c r="S60" s="51" t="n">
        <x:v>40</x:v>
      </x:c>
      <x:c r="T60" t="str">
        <x:v>g</x:v>
      </x:c>
      <x:c r="U60" s="49" t="n">
        <x:f>S60/10</x:f>
        <x:v>4</x:v>
      </x:c>
      <x:c r="V60" s="53" t="str">
        <x:v>Estimated — synthetic SKU; comparable 10-piece hard-candy package</x:v>
      </x:c>
      <x:c r="W60" s="53" t="str">
        <x:v>https://www.washingtonweedstores.com/brands/Swifts</x:v>
      </x:c>
    </x:row>
    <x:row r="61">
      <x:c r="A61" s="20" t="str">
        <x:v>Verdelux</x:v>
      </x:c>
      <x:c r="B61" s="20" t="str">
        <x:v>Blood Orange Cookie Bites</x:v>
      </x:c>
      <x:c r="C61" s="20" t="str">
        <x:v>Baked Goods</x:v>
      </x:c>
      <x:c r="D61" s="20" t="str">
        <x:v>Blend</x:v>
      </x:c>
      <x:c r="E61" s="20" t="str">
        <x:v>Distillate</x:v>
      </x:c>
      <x:c r="F61" s="20"/>
      <x:c r="G61" s="20" t="str">
        <x:v>Giggly</x:v>
      </x:c>
      <x:c r="H61" s="20" t="str">
        <x:v>THC:CBG</x:v>
      </x:c>
      <x:c r="I61" s="20" t="str">
        <x:v>10:1</x:v>
      </x:c>
      <x:c r="J61" s="20" t="n">
        <x:v>10</x:v>
      </x:c>
      <x:c r="K61" s="20" t="n">
        <x:v>0</x:v>
      </x:c>
      <x:c r="L61" s="20" t="n">
        <x:v>1</x:v>
      </x:c>
      <x:c r="M61" s="20" t="str">
        <x:v>10mg / 100mg</x:v>
      </x:c>
      <x:c r="N61" s="20" t="str">
        <x:v>Blood Orange</x:v>
      </x:c>
      <x:c r="O61" s="24" t="str">
        <x:v>Blood Orange baked goods formulated for the giggly experience.</x:v>
      </x:c>
      <x:c r="P61" t="str">
        <x:v>Weight</x:v>
      </x:c>
      <x:c r="Q61" s="49" t="n">
        <x:f>ROUNDDOWN(S61/28.349523125,2)</x:f>
        <x:v>3.52</x:v>
      </x:c>
      <x:c r="R61" t="str">
        <x:v>oz</x:v>
      </x:c>
      <x:c r="S61" s="51" t="n">
        <x:v>100</x:v>
      </x:c>
      <x:c r="T61" t="str">
        <x:v>g</x:v>
      </x:c>
      <x:c r="U61" s="49" t="n">
        <x:f>S61/10</x:f>
        <x:v>10</x:v>
      </x:c>
      <x:c r="V61" s="53" t="str">
        <x:v>Estimated — synthetic cookie-bite SKU; comparable WA confection weight</x:v>
      </x:c>
      <x:c r="W61" s="53" t="str">
        <x:v>https://www.topshelfdata.com/wa/clarkston/greenfield-company-cannabis-mercantile/leaf_product_purchases?business=&amp;from=2023-03-01</x:v>
      </x:c>
    </x:row>
    <x:row r="62">
      <x:c r="A62" s="20" t="str">
        <x:v>Wyld</x:v>
      </x:c>
      <x:c r="B62" s="20" t="str">
        <x:v>Cherry Lime Softgels</x:v>
      </x:c>
      <x:c r="C62" s="20" t="str">
        <x:v>Capsules</x:v>
      </x:c>
      <x:c r="D62" s="20" t="str">
        <x:v>Blend</x:v>
      </x:c>
      <x:c r="E62" s="20" t="str">
        <x:v>Live Resin</x:v>
      </x:c>
      <x:c r="F62" s="20"/>
      <x:c r="G62" s="20" t="str">
        <x:v>Calm</x:v>
      </x:c>
      <x:c r="H62" s="20" t="str">
        <x:v>THC:CBD</x:v>
      </x:c>
      <x:c r="I62" s="20" t="str">
        <x:v>1:2</x:v>
      </x:c>
      <x:c r="J62" s="20" t="n">
        <x:v>5</x:v>
      </x:c>
      <x:c r="K62" s="20" t="n">
        <x:v>10</x:v>
      </x:c>
      <x:c r="L62" s="20" t="n">
        <x:v>0</x:v>
      </x:c>
      <x:c r="M62" s="20" t="str">
        <x:v>10mg / 100mg</x:v>
      </x:c>
      <x:c r="N62" s="20" t="str">
        <x:v>Cherry Lime</x:v>
      </x:c>
      <x:c r="O62" s="24" t="str">
        <x:v>Cherry Lime capsules formulated for the calm experience.</x:v>
      </x:c>
      <x:c r="P62" t="str">
        <x:v>Weight</x:v>
      </x:c>
      <x:c r="Q62" s="49" t="n">
        <x:f>ROUNDDOWN(S62/28.349523125,2)</x:f>
        <x:v>0.35</x:v>
      </x:c>
      <x:c r="R62" t="str">
        <x:v>oz</x:v>
      </x:c>
      <x:c r="S62" s="51" t="n">
        <x:v>10</x:v>
      </x:c>
      <x:c r="T62" t="str">
        <x:v>g</x:v>
      </x:c>
      <x:c r="U62" s="49" t="n">
        <x:f>S62/10</x:f>
        <x:v>1</x:v>
      </x:c>
      <x:c r="V62" s="53" t="str">
        <x:v>Estimated — synthetic 10-count capsule package</x:v>
      </x:c>
      <x:c r="W62" s="53" t="str">
        <x:v>https://www.topshelfdata.com/wa/shelton/sashas-cannabis/leaf_product_purchases?business=Fairwinds+Manufacturing&amp;from=2024-05-01</x:v>
      </x:c>
    </x:row>
  </x:sheetData>
  <x:pageMargins left="0.7" right="0.7" top="0.75" bottom="0.75" header="0.3" footer="0.3"/>
</x:worksheet>
</file>